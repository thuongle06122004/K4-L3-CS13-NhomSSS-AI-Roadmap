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0_Hướng dẫn" sheetId="1" state="visible" r:id="rId3"/>
    <sheet name="0_Đầu vào" sheetId="2" state="visible" r:id="rId4"/>
    <sheet name="1_Danh sách việc" sheetId="3" state="visible" r:id="rId5"/>
    <sheet name="2_Mức tự động" sheetId="4" state="visible" r:id="rId6"/>
    <sheet name="3_Bảng lộ trình" sheetId="5" state="visible" r:id="rId7"/>
    <sheet name="4_Rà soát" sheetId="6" state="visible" r:id="rId8"/>
    <sheet name="5_Slide lãnh đạo" sheetId="7" state="visible" r:id="rId9"/>
    <sheet name="6_Tự kiểm tra" sheetId="8" state="visible" r:id="rId10"/>
    <sheet name="7_Thang điểm"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<sst xmlns="http://schemas.openxmlformats.org/spreadsheetml/2006/main" count="312" uniqueCount="297">
  <si>
    <t xml:space="preserve">CS13 · Lộ trình sản phẩm AI — File thực hành · Đề 3 · RaViện</t>
  </si>
  <si>
    <t xml:space="preserve">AI in Action · Track 1 · Khóa 4. FILE LÀM BÀI CỦA NHÓM · Đề 3 · RaViện. Dữ liệu của đề nằm trong file CS13_HoSoTinhHuong.pdf; file CS13_Roadmap_Mau.xlsx là bản mẫu đã điền (một sản phẩm khác) để xem cách điền.</t>
  </si>
  <si>
    <t xml:space="preserve">Luật chơi: CHỈ điền vào ô màu VÀNG. Ô màu XANH là công thức và đã được khóa. Bắt đầu bằng trang 0_Đầu vào (Nhiệm vụ 0: đọc hồ sơ tình huống).</t>
  </si>
  <si>
    <t xml:space="preserve">Thứ tự làm: 0 Đọc hồ sơ → 1 Danh sách việc → 2 Mức tự động → 3 Bảng lộ trình → 4 Rà soát → 6 Tự kiểm tra. Trang 5 (slide lãnh đạo) làm ở nhà.</t>
  </si>
  <si>
    <t xml:space="preserve">Số liệu kinh tế của đề đã điền sẵn ở trang 2, dòng 12–20. Không cần file của buổi nào khác: mọi dữ liệu cần dùng nằm trong hồ sơ tình huống, Đề 3.</t>
  </si>
  <si>
    <t xml:space="preserve">Lộ trình theo GIẢ THUYẾT: mỗi hạng mục phải trả lời 'Ta tin rằng làm X sẽ giúp Y đạt Z; biết đúng khi chỉ số W đạt ngưỡng V'.</t>
  </si>
  <si>
    <t xml:space="preserve">Tên file nộp: [Nhom]_CS13.xlsx · Nộp bản có Nhiệm vụ 1–4 lên VLearn trước 18:00 ngày 16/10. Trang 5 (Nhiệm vụ 5, làm ở nhà) nộp trước 23:59 ngày 19/10.</t>
  </si>
  <si>
    <t xml:space="preserve">Tuân thủ: Luật Trí tuệ nhân tạo số 134/2025/QH15 (hiệu lực 01/3/2026) chia hệ thống AI thành 3 mức rủi ro và yêu cầu người dùng được thông tin khi tương tác với AI. Đọc văn bản gốc trước khi ghi vào bài.</t>
  </si>
  <si>
    <t xml:space="preserve">Chú thích màu:</t>
  </si>
  <si>
    <t xml:space="preserve">Ô điền giả định (không khóa)</t>
  </si>
  <si>
    <t xml:space="preserve">Ô công thức (tự tính, đã khóa)</t>
  </si>
  <si>
    <t xml:space="preserve">0 · Nhiệm vụ 0: đọc hồ sơ tình huống, Đề 3 (5 phút)</t>
  </si>
  <si>
    <t xml:space="preserve">Cả nhóm đọc cùng một hồ sơ trước khi điền. Nhiệm vụ 0 không tính điểm; đánh dấu "Có" khi cả nhóm đã đọc mục đó.</t>
  </si>
  <si>
    <t xml:space="preserve">Mục trong hồ sơ tình huống</t>
  </si>
  <si>
    <t xml:space="preserve">Nhóm đã đọc chưa?</t>
  </si>
  <si>
    <t xml:space="preserve">Dùng ở đâu trong file</t>
  </si>
  <si>
    <t xml:space="preserve">Lưu ý</t>
  </si>
  <si>
    <t xml:space="preserve">Ghi chú của nhóm</t>
  </si>
  <si>
    <t xml:space="preserve">Số liệu kinh tế của đề (9 dòng)</t>
  </si>
  <si>
    <t xml:space="preserve">Có</t>
  </si>
  <si>
    <t xml:space="preserve">Đã điền sẵn ở trang 2, dòng 12–20: chi phí mỗi việc, biên lợi nhuận, điều kiện dừng</t>
  </si>
  <si>
    <t xml:space="preserve">Đọc để hiểu; không cần chép</t>
  </si>
  <si>
    <t xml:space="preserve">Chi phí 4.168 đ/bản trước người duyệt; biến nguy hiểm: bác sĩ sửa nhiều &gt;30%</t>
  </si>
  <si>
    <t xml:space="preserve">Bối cảnh, sản phẩm, "1 việc" là gì</t>
  </si>
  <si>
    <t xml:space="preserve">Giả thuyết và chỉ số ở trang 1</t>
  </si>
  <si>
    <t xml:space="preserve">Viết giả thuyết theo đúng "1 việc" của đề</t>
  </si>
  <si>
    <t xml:space="preserve">1 việc = 1 bản nháp tóm tắt ra viện cho 1 người bệnh; ~40 ca ra viện/ngày</t>
  </si>
  <si>
    <t xml:space="preserve">6 việc gợi ý</t>
  </si>
  <si>
    <t xml:space="preserve">Trang 1, cột B–C; nhóm được thêm việc của mình</t>
  </si>
  <si>
    <t xml:space="preserve">Giữ, bỏ hay đổi thứ tự đều phải ghi lý do ở cột Q</t>
  </si>
  <si>
    <t xml:space="preserve">Giữ 6 việc, thêm việc 7: sửa lỗi insulin (làm trước)</t>
  </si>
  <si>
    <t xml:space="preserve">Kết quả đánh giá đã có (bộ đề, cổng phát hành)</t>
  </si>
  <si>
    <t xml:space="preserve">Cổng đánh giá ở trang 2; việc cần làm trước ở trang 3</t>
  </si>
  <si>
    <t xml:space="preserve">Đề 2, 3: kết luận chưa phải "Phát hành" → có việc phải làm trước</t>
  </si>
  <si>
    <t xml:space="preserve">Chưa phát hành: 1 lỗi nghiêm trọng (insulin tối→sáng); 96,6% đạt, kappa 0,90</t>
  </si>
  <si>
    <t xml:space="preserve">Chuyên gia và số giờ của họ</t>
  </si>
  <si>
    <t xml:space="preserve">Dòng "Điều kiện cần" ở trang 3; ô "Cần gì" ở trang 5</t>
  </si>
  <si>
    <t xml:space="preserve">Dẫn đúng số giờ trong hồ sơ</t>
  </si>
  <si>
    <t xml:space="preserve">20,3 giờ/vòng chấm 40 hồ sơ; phần thuốc do DS. Hải chấm; BS. Phương ít giờ</t>
  </si>
  <si>
    <t xml:space="preserve">Gợi ý về người duyệt và mức tự động</t>
  </si>
  <si>
    <t xml:space="preserve">Trang 2, cột H và I</t>
  </si>
  <si>
    <t xml:space="preserve">Đề 3: bác sĩ của bệnh viện không tính vào chi phí</t>
  </si>
  <si>
    <t xml:space="preserve">Bác sĩ luôn đọc và ký, không tính phí; DS của công ty là người duyệt tính phí; Mức 3 ghi Không làm</t>
  </si>
  <si>
    <t xml:space="preserve">Số mục nhóm đã đọc</t>
  </si>
  <si>
    <t xml:space="preserve">Đủ 6/6 thì sang Nhiệm vụ 1.</t>
  </si>
  <si>
    <t xml:space="preserve">1 · Danh sách việc và chấm điểm ưu tiên</t>
  </si>
  <si>
    <t xml:space="preserve">Điểm = Độ phủ × Tác động × Mức tự tin ÷ Công sức × (0,5 + 0,5 × sẵn sàng trung bình của dữ liệu và đánh giá) × (1 − 0,5 × rủi ro bị 'nuốt')</t>
  </si>
  <si>
    <t xml:space="preserve">STT</t>
  </si>
  <si>
    <t xml:space="preserve">Việc</t>
  </si>
  <si>
    <t xml:space="preserve">Kết quả muốn đạt</t>
  </si>
  <si>
    <t xml:space="preserve">Giả thuyết (Ta tin rằng…)</t>
  </si>
  <si>
    <t xml:space="preserve">Chỉ số thành công và ngưỡng</t>
  </si>
  <si>
    <t xml:space="preserve">Độ phủ 1–5</t>
  </si>
  <si>
    <t xml:space="preserve">Tác động 1–5</t>
  </si>
  <si>
    <t xml:space="preserve">Mức tự tin 0,5 / 0,8 / 1</t>
  </si>
  <si>
    <t xml:space="preserve">Công sức 1–5</t>
  </si>
  <si>
    <t xml:space="preserve">Sẵn sàng dữ liệu 0–1</t>
  </si>
  <si>
    <t xml:space="preserve">Sẵn sàng đánh giá 0–1</t>
  </si>
  <si>
    <t xml:space="preserve">Rủi ro bị nuốt 0–1</t>
  </si>
  <si>
    <t xml:space="preserve">ĐIỂM</t>
  </si>
  <si>
    <t xml:space="preserve">Xếp hạng</t>
  </si>
  <si>
    <t xml:space="preserve">Chỉ số có con số?</t>
  </si>
  <si>
    <t xml:space="preserve">Tự làm / Mua / Chờ / Không làm</t>
  </si>
  <si>
    <t xml:space="preserve">Lý do (đổi thứ tự, chọn mua hay chờ…)</t>
  </si>
  <si>
    <t xml:space="preserve">Soạn nháp diễn biến và chẩn đoán từ hồ sơ</t>
  </si>
  <si>
    <t xml:space="preserve">Bác sĩ bớt 2/3 thời gian viết tóm tắt</t>
  </si>
  <si>
    <t xml:space="preserve">Ta tin rằng soạn sẵn bản nháp (lý do vào viện, diễn biến, kết quả chính, hẹn tái khám) cho bác sĩ khoa nội đọc, sửa và ký sẽ giúp bác sĩ bớt 2/3 thời gian viết tóm tắt ra viện.</t>
  </si>
  <si>
    <t xml:space="preserve">Thời gian bác sĩ mỗi bản ≤6 phút (từ 15–20 phút), đo trên ≥300 bản; bác sĩ sửa nhiều ≤30% bản nháp (ngưỡng dừng của đề; nhóm đặt mục tiêu 20%).</t>
  </si>
  <si>
    <t xml:space="preserve">Tự làm</t>
  </si>
  <si>
    <t xml:space="preserve">Xếp hạng 3 dù là giá trị chính: chỉ vào thử nghiệm sau khi việc 7 và 2 qua cổng 0 lỗi nghiêm trọng. Rủi ro bị nuốt 0,4 vì mô hình chung hoặc phần mềm bệnh án có thể thêm tính năng tóm tắt.</t>
  </si>
  <si>
    <t xml:space="preserve">Đối chiếu thuốc ra viện với y lệnh cuối</t>
  </si>
  <si>
    <t xml:space="preserve">Không sai thuốc khi ra viện</t>
  </si>
  <si>
    <t xml:space="preserve">Ta tin rằng đối chiếu tự động thuốc, liều, buổi dùng trong bản nháp với y lệnh cuối, rồi để DS. Hải kiểm các điểm lệch, sẽ giúp bác sĩ không phải bắt lỗi thuốc bằng mắt và không còn lỗi thuốc lọt đến người bệnh.</t>
  </si>
  <si>
    <t xml:space="preserve">Lỗi thuốc/liều lọt đến người bệnh = 0 trên ≥1.500 bản đã dược sĩ kiểm; bắt đủ 5/5 ca insulin thêm vào bộ đề; 0 lỗi nghiêm trọng trên bộ 45 ca.</t>
  </si>
  <si>
    <t xml:space="preserve">Xếp hạng 2 nhưng làm song song với việc 7: cùng xử lý lỗi thuốc. Làm bằng luật đối chiếu với y lệnh cuối nên công sức thấp; sẵn sàng đánh giá 0,6 vì bộ đề chưa có ca insulin.</t>
  </si>
  <si>
    <t xml:space="preserve">Đánh dấu hồ sơ mâu thuẫn cho bác sĩ</t>
  </si>
  <si>
    <t xml:space="preserve">Ca khó không bị viết như ca thường</t>
  </si>
  <si>
    <t xml:space="preserve">Ta tin rằng gắn cờ hồ sơ có mâu thuẫn (xét nghiệm, y lệnh, ghi chú) sẽ giúp bác sĩ không bị viết ca khó như ca thường.</t>
  </si>
  <si>
    <t xml:space="preserve">Gắn cờ đúng ≥90% ca mâu thuẫn trong tầng Khó và Nguy hiểm; cờ thừa ≤20% bản (nhóm đề xuất, cần xác nhận với BS. Phương).</t>
  </si>
  <si>
    <t xml:space="preserve">Chờ</t>
  </si>
  <si>
    <t xml:space="preserve">Chờ đến ngày 90 của thử nghiệm: chưa có bộ ca mâu thuẫn riêng và bằng chứng còn yếu (tự tin 0,5). Xem lại khi có dữ liệu cờ từ thử nghiệm.</t>
  </si>
  <si>
    <t xml:space="preserve">Lời dặn dễ hiểu cho người bệnh</t>
  </si>
  <si>
    <t xml:space="preserve">Người bệnh làm đúng lời dặn</t>
  </si>
  <si>
    <t xml:space="preserve">Ta tin rằng viết lời dặn bằng ngôn ngữ dễ hiểu trong bản nháp sẽ giúp người bệnh làm đúng lời dặn sau ra viện. Máy không tự gửi; bác sĩ duyệt.</t>
  </si>
  <si>
    <t xml:space="preserve">Tỷ lệ người bệnh nhắc lại đúng ≥80% lời dặn chính ở lần tái khám, trên ≥100 người (nhóm đề xuất).</t>
  </si>
  <si>
    <t xml:space="preserve">Chờ đến Mức 2: lời dặn gần người bệnh nên rủi ro cao, chưa có bộ đề, và mô hình chung đã viết lời dặn khá tốt (rủi ro bị nuốt 0,5).</t>
  </si>
  <si>
    <t xml:space="preserve">Tóm tắt hồ sơ khi chuyển khoa</t>
  </si>
  <si>
    <t xml:space="preserve">Khoa nhận nắm ca nhanh hơn</t>
  </si>
  <si>
    <t xml:space="preserve">Ta tin rằng bản tóm tắt chuyển khoa sẽ giúp khoa nhận nắm ca nhanh hơn.</t>
  </si>
  <si>
    <t xml:space="preserve">Thời gian khoa nhận đọc và nắm ca giảm 30% trên ≥50 ca chuyển khoa (nhóm đề xuất); cần bộ đề chuyển khoa trước (hiện 0 ca).</t>
  </si>
  <si>
    <t xml:space="preserve">Chờ đến tháng 6: hồ sơ ghi chưa có bộ đề cho ca chuyển khoa nên không đo được. Làm bộ đề trước khi bắt đầu.</t>
  </si>
  <si>
    <t xml:space="preserve">Mã hoá bệnh cho thanh toán bảo hiểm</t>
  </si>
  <si>
    <t xml:space="preserve">Bớt giờ của phòng kế hoạch</t>
  </si>
  <si>
    <t xml:space="preserve">Ta tin rằng mã hoá bệnh tự động sẽ giúp phòng kế hoạch bớt giờ làm.</t>
  </si>
  <si>
    <t xml:space="preserve">Giờ mã hoá giảm 30% (nhóm đề xuất); chỉ làm nếu phần mềm hiện có không đạt ngưỡng đó.</t>
  </si>
  <si>
    <t xml:space="preserve">Không làm</t>
  </si>
  <si>
    <t xml:space="preserve">Không làm: bệnh viện đã có phần mềm chuyên dụng mã hoá bệnh nên rủi ro bị nuốt 0,9; ngoài cốt lõi tóm tắt ra viện.</t>
  </si>
  <si>
    <t xml:space="preserve">Sửa lỗi insulin và chạy lại bộ đề (việc nhóm thêm)</t>
  </si>
  <si>
    <t xml:space="preserve">Bản mới đủ điều kiện vào thử nghiệm: 0 lỗi nghiêm trọng</t>
  </si>
  <si>
    <t xml:space="preserve">Ta tin rằng thêm 5 ca insulin vào bộ đề, sửa lỗi ghi liều buổi tối sang buổi sáng rồi chạy lại cả bộ sẽ giúp bản mới đạt 0 lỗi nghiêm trọng và được vào thử nghiệm.</t>
  </si>
  <si>
    <t xml:space="preserve">Chạy lại bộ 45 ca (40 + 5 insulin): 0 lỗi nghiêm trọng, tỷ lệ đạt quy về thực tế ≥95%, 0 tầng tụt, kappa ≥0,8 (hiện 96,6%; 1 lỗi; 0; 0,90).</t>
  </si>
  <si>
    <t xml:space="preserve">Việc nhóm thêm; điểm cao nhất nên làm đầu tiên. Đề nói chỉ vào thử nghiệm khi 0 lỗi nghiêm trọng, nên mọi việc khác phụ thuộc việc này.</t>
  </si>
  <si>
    <t xml:space="preserve">2 · Lộ trình tăng dần mức tự động và cổng đánh giá</t>
  </si>
  <si>
    <t xml:space="preserve">Mỗi lần lên mức phải qua một cổng đánh giá bằng con số. Chưa qua cổng thì chưa lên mức, dù đã đến ngày. Mức tự động quyết định chi phí mỗi việc: xem cột H–L.</t>
  </si>
  <si>
    <t xml:space="preserve">Mức</t>
  </si>
  <si>
    <t xml:space="preserve">Tên mức</t>
  </si>
  <si>
    <t xml:space="preserve">AI làm gì</t>
  </si>
  <si>
    <t xml:space="preserve">Người làm gì</t>
  </si>
  <si>
    <t xml:space="preserve">Cổng đánh giá để lên mức này (chỉ số + ngưỡng + cỡ mẫu)</t>
  </si>
  <si>
    <t xml:space="preserve">Dữ liệu / hạ tầng / tuân thủ cần có</t>
  </si>
  <si>
    <t xml:space="preserve">Dự kiến (kế hoạch nội bộ, không phải cam kết)</t>
  </si>
  <si>
    <t xml:space="preserve">% việc có người duyệt</t>
  </si>
  <si>
    <t xml:space="preserve">Ai duyệt</t>
  </si>
  <si>
    <t xml:space="preserve">Chi phí mỗi việc (đ)</t>
  </si>
  <si>
    <t xml:space="preserve">Biên lợi nhuận gộp</t>
  </si>
  <si>
    <t xml:space="preserve">Biên ≥ 60%?</t>
  </si>
  <si>
    <t xml:space="preserve">Cổng có con số?</t>
  </si>
  <si>
    <t xml:space="preserve">Gợi ý</t>
  </si>
  <si>
    <t xml:space="preserve">Chạy nội bộ trên hồ sơ cũ đã ẩn danh, soạn nháp và đối chiếu thuốc; kết quả chưa đến bác sĩ đang điều trị.</t>
  </si>
  <si>
    <t xml:space="preserve">Dược sĩ Hải kiểm 100% phần thuốc; kỹ sư sửa lỗi insulin và chạy lại; không có người bệnh nào nhận nháp.</t>
  </si>
  <si>
    <t xml:space="preserve">Vào thử nghiệm: xem Mức 1.</t>
  </si>
  <si>
    <t xml:space="preserve">Hồ sơ ẩn danh, y lệnh cuối, nhật ký; hạ tầng chạy trong hệ thống bệnh viện.</t>
  </si>
  <si>
    <t xml:space="preserve">Tuần 1–4 (ước tính nhóm)</t>
  </si>
  <si>
    <t xml:space="preserve">Người của mình</t>
  </si>
  <si>
    <t xml:space="preserve">Hỗ trợ có duyệt</t>
  </si>
  <si>
    <t xml:space="preserve">Soạn nháp tóm tắt ra viện và đối chiếu thuốc với y lệnh cuối, gắn cờ điểm lệch; không tự gửi người bệnh.</t>
  </si>
  <si>
    <t xml:space="preserve">Bác sĩ đọc, sửa và ký 100% bản nháp (bệnh viện, không tính phí). DS. Hải kiểm 30% bản và mọi bản bị gắn cờ thuốc (tuần đầu 100%).</t>
  </si>
  <si>
    <t xml:space="preserve">Chạy lại bộ 45 ca (40 + 5 insulin): 0 lỗi nghiêm trọng; tỷ lệ đạt quy về thực tế ≥95%; 0 tầng tụt; kappa ≥0,8. DS. Hải và BS. Phương xác nhận. Lưu ý: 0/45 lỗi chỉ cho giới hạn trên ≈3/45 = 6,7% (mức tin cậy 95%), nên chỉ cho thử nghiệm 1 khoa, không mở rộng.</t>
  </si>
  <si>
    <t xml:space="preserve">Dữ liệu ẩn danh, nhật ký đầy đủ, khoa nội thử nghiệm ~1.200 bản/tháng; tuân thủ: bác sĩ biết nháp do AI soạn (đối chiếu Luật AI số 134/2025/QH15).</t>
  </si>
  <si>
    <t xml:space="preserve">Tháng 1–3 sau cổng; mốc dừng hết tháng 3 thử nghiệm</t>
  </si>
  <si>
    <t xml:space="preserve">Tự động một phần</t>
  </si>
  <si>
    <t xml:space="preserve">Soạn nháp và đối chiếu thuốc cho khoa nội thử nghiệm; chỉ tự gắn cờ, vẫn không tự gửi người bệnh.</t>
  </si>
  <si>
    <t xml:space="preserve">Bác sĩ vẫn đọc, sửa và ký 100%. DS. Hải kiểm mẫu 10% ngẫu nhiên và mọi bản bị gắn cờ thuốc.</t>
  </si>
  <si>
    <t xml:space="preserve">Cuối tháng 3 thử nghiệm: 0 lỗi thuốc/liều lọt đến người bệnh trên ≥1.500 bản đã dược sĩ kiểm (giới hạn trên ≈3/1.500 = 0,2%); bác sĩ sửa nhiều ≤30% trên ≥1.000 bản mỗi tháng; chạy lại bộ đề 0 lỗi nghiêm trọng. BS. Phương ký xác nhận.</t>
  </si>
  <si>
    <t xml:space="preserve">Thêm bộ đề cho các ca thử nghiệm; nhật ký truy vết từng bản; hợp đồng với bệnh viện; xem lại tuân thủ trước khi mở sang khoa khác.</t>
  </si>
  <si>
    <t xml:space="preserve">Tháng 4–9 (sau cổng, nếu qua)</t>
  </si>
  <si>
    <t xml:space="preserve">Tự động có giám sát</t>
  </si>
  <si>
    <t xml:space="preserve">Không làm trong 12 tháng: AI không tự ký hay tự gửi bản tóm tắt nào.</t>
  </si>
  <si>
    <t xml:space="preserve">Bác sĩ luôn đọc, sửa và ký; không bỏ bước này ở bất kỳ mức nào.</t>
  </si>
  <si>
    <t xml:space="preserve">Không đặt cổng vì không làm mức tự động cao nhất trong năm đầu; chỉ xem lại khi có bằng chứng dài hạn và quy định cho phép.</t>
  </si>
  <si>
    <t xml:space="preserve">Không áp dụng.</t>
  </si>
  <si>
    <t xml:space="preserve">Không làm (xem lại sau năm đầu)</t>
  </si>
  <si>
    <t xml:space="preserve">Mức 0 và Mức 1 có biên thấp (6,7% và 48,6%) vì dược sĩ duyệt nhiều trong lúc thử nghiệm: đây là chi phí an toàn có chủ đích, không hạ để đạt biên 60%. Chỉ Mức 2 (duyệt 10%) đạt ≥60%.</t>
  </si>
  <si>
    <t xml:space="preserve">SỐ LIỆU KINH TẾ CỦA ĐỀ (đã điền sẵn từ hồ sơ tình huống; sửa được nếu nhóm có lý do)</t>
  </si>
  <si>
    <t xml:space="preserve">Chi phí gọi AI / việc (đã tính gọi lại)</t>
  </si>
  <si>
    <t xml:space="preserve">Hồ sơ, bảng Số liệu kinh tế, dòng 1</t>
  </si>
  <si>
    <t xml:space="preserve">Hạ tầng + đánh giá + khác / việc</t>
  </si>
  <si>
    <t xml:space="preserve">dòng 2</t>
  </si>
  <si>
    <t xml:space="preserve">Số phút người duyệt / việc</t>
  </si>
  <si>
    <t xml:space="preserve">dòng 3</t>
  </si>
  <si>
    <t xml:space="preserve">Chi phí 1 giờ người duyệt (đ)</t>
  </si>
  <si>
    <t xml:space="preserve">dòng 4</t>
  </si>
  <si>
    <t xml:space="preserve">Doanh thu bình quân / khách / tháng (đ)</t>
  </si>
  <si>
    <t xml:space="preserve">dòng 5</t>
  </si>
  <si>
    <t xml:space="preserve">Số việc bình quân / khách / tháng</t>
  </si>
  <si>
    <t xml:space="preserve">dòng 6</t>
  </si>
  <si>
    <t xml:space="preserve">Biến nguy hiểm nhất</t>
  </si>
  <si>
    <t xml:space="preserve">Tỷ lệ bản nháp bác sĩ phải sửa nhiều: quá 30% thì bác sĩ bỏ dùng</t>
  </si>
  <si>
    <t xml:space="preserve">dòng 7</t>
  </si>
  <si>
    <t xml:space="preserve">Điều kiện dừng đã chọn (theo đề)</t>
  </si>
  <si>
    <t xml:space="preserve">Hết tháng 3 thử nghiệm: bác sĩ phải sửa nhiều trên 30% bản nháp, hoặc có 1 lỗi thuốc lọt đến người bệnh, THÌ dừng, không mở sang khoa khác</t>
  </si>
  <si>
    <t xml:space="preserve">dòng 8</t>
  </si>
  <si>
    <t xml:space="preserve">Kịch bản xấu hết tiền ở tháng</t>
  </si>
  <si>
    <t xml:space="preserve">dòng 9</t>
  </si>
  <si>
    <t xml:space="preserve">Ghi chú: bác sĩ của bệnh viện luôn đọc và ký, không tính vào chi phí của mình. Người duyệt của mình là dược sĩ kiểm tra phần thuốc. Mức 3 có thể ghi "Không làm".</t>
  </si>
  <si>
    <t xml:space="preserve">3 · Bảng lộ trình theo giả thuyết: Bây giờ / Tiếp theo / Sau này</t>
  </si>
  <si>
    <t xml:space="preserve">Bây giờ = cam kết (0–3 tháng) · Tiếp theo = định hướng (3–6 tháng) · Sau này = khám phá (6–12 tháng). Càng xa càng ít chi tiết.</t>
  </si>
  <si>
    <t xml:space="preserve">Dòng</t>
  </si>
  <si>
    <t xml:space="preserve">Bây giờ (0–3 tháng)</t>
  </si>
  <si>
    <t xml:space="preserve">Tiếp theo (3–6 tháng)</t>
  </si>
  <si>
    <t xml:space="preserve">Sau này (6–12 tháng)</t>
  </si>
  <si>
    <t xml:space="preserve">Việc chính (lấy từ trang 1)</t>
  </si>
  <si>
    <t xml:space="preserve">(1) Sửa lỗi insulin: thêm 5 ca, chạy lại bộ 45 ca. (2) Đối chiếu thuốc ra viện với y lệnh cuối. (3) Soạn nháp diễn biến và chẩn đoán cho 1 khoa nội.</t>
  </si>
  <si>
    <t xml:space="preserve">Mở rộng thử nghiệm sang khoa thứ hai nếu qua cổng Mức 2; xây bộ đề cho cờ hồ sơ mâu thuẫn (việc 3).</t>
  </si>
  <si>
    <t xml:space="preserve">Khám phá lời dặn cho người bệnh (bác sĩ duyệt) và tóm tắt chuyển khoa, sau khi có bộ đề riêng.</t>
  </si>
  <si>
    <t xml:space="preserve">Giả thuyết</t>
  </si>
  <si>
    <t xml:space="preserve">Ta tin rằng sửa lỗi insulin rồi để bác sĩ đọc, sửa, ký bản nháp có đối chiếu thuốc sẽ giúp bác sĩ bớt 2/3 thời gian viết mà không có lỗi thuốc lọt đến người bệnh.</t>
  </si>
  <si>
    <t xml:space="preserve">Ta tin rằng gắn cờ hồ sơ mâu thuẫn sẽ giúp ca khó không bị viết như ca thường.</t>
  </si>
  <si>
    <t xml:space="preserve">Ta tin rằng lời dặn dễ hiểu và tóm tắt chuyển khoa sẽ giúp người bệnh làm đúng lời dặn và khoa nhận nắm ca nhanh hơn.</t>
  </si>
  <si>
    <t xml:space="preserve">Bộ 45 ca: 0 lỗi nghiêm trọng, ≥95% đạt, 0 tầng tụt, kappa ≥0,8. Thử nghiệm: bác sĩ ≤6 phút/bản (từ 15–20 phút); sửa nhiều ≤30% bản; 0 lỗi thuốc lọt.</t>
  </si>
  <si>
    <t xml:space="preserve">Gắn cờ đúng ≥90% ca mâu thuẫn; cờ thừa ≤20% bản; bác sĩ sửa nhiều ≤30% trên khoa thứ hai.</t>
  </si>
  <si>
    <t xml:space="preserve">Người bệnh nhắc lại đúng ≥80% lời dặn chính (≥100 người); khoa nhận đọc nhanh hơn 30% (≥50 ca).</t>
  </si>
  <si>
    <t xml:space="preserve">Mức tự động (trang 2)</t>
  </si>
  <si>
    <t xml:space="preserve">Mức 0 (tuần 1–4) rồi Mức 1 thử nghiệm 1 khoa: bác sĩ đọc, sửa, ký 100%; DS duyệt 30%; máy không tự gửi người bệnh.</t>
  </si>
  <si>
    <t xml:space="preserve">Mức 2 nếu qua cổng: DS duyệt mẫu 10% và mọi bản gắn cờ thuốc; bác sĩ vẫn ký 100%.</t>
  </si>
  <si>
    <t xml:space="preserve">Vẫn Mức 2; Mức 3 ghi Không làm.</t>
  </si>
  <si>
    <t xml:space="preserve">Cổng đánh giá</t>
  </si>
  <si>
    <t xml:space="preserve">Vào Mức 1: 0 lỗi nghiêm trọng trên 45 ca, ≥95% đạt, 0 tầng tụt, kappa ≥0,8. Mức 1 → 2: 0 lỗi thuốc lọt trên ≥1.500 bản đã DS kiểm, bác sĩ sửa nhiều ≤30%.</t>
  </si>
  <si>
    <t xml:space="preserve">Cổng Mức 2 chạy lại cho khoa thứ hai: 0 lỗi thuốc lọt trên ≥1.000 bản.</t>
  </si>
  <si>
    <t xml:space="preserve">Mỗi tính năng mới cần bộ đề riêng và cổng có chỉ số, ngưỡng, cỡ mẫu trước khi thử.</t>
  </si>
  <si>
    <t xml:space="preserve">Điều kiện cần: dữ liệu / hạ tầng / tuân thủ</t>
  </si>
  <si>
    <t xml:space="preserve">Dữ liệu: hồ sơ ẩn danh, y lệnh cuối. Hạ tầng: chạy trong hệ thống bệnh viện, có nhật ký. Tuân thủ: Luật AI số 134/2025/QH15, bác sĩ biết đang dùng AI. Chuyên gia: ~23 giờ (20,3×45/40) cho một vòng chấm 45 ca; DS. Hải chấm phần thuốc, BS. Phương duyệt.</t>
  </si>
  <si>
    <t xml:space="preserve">Hợp đồng khoa thứ hai; bộ đề ca mâu thuẫn; giờ của DS. Hải cho mẫu 10%.</t>
  </si>
  <si>
    <t xml:space="preserve">Bộ đề ca chuyển khoa (hiện chưa có); xem lại tuân thủ khi quy định thay đổi.</t>
  </si>
  <si>
    <t xml:space="preserve">Căn cứ kinh tế (số liệu của đề và trang 2)</t>
  </si>
  <si>
    <t xml:space="preserve">Chi phí/bản trước người duyệt = 2.968 + 1.200 = 4.168 đ. Giá 15 triệu/khoa/tháng, 1.200 bản. Biên gộp: Mức 0 (100% duyệt) 6,7%; Mức 1 (30%) 48,6%; Mức 2 (10%) 60,7%. Kịch bản xấu: bệnh viện ký chậm 6 tháng sau thử nghiệm thì hết tiền ở tháng 9.</t>
  </si>
  <si>
    <t xml:space="preserve">Giữ biên ≥60% ở Mức 2; chỉ mở khoa thứ hai khi hợp đồng đầu đã ký.</t>
  </si>
  <si>
    <t xml:space="preserve">Giá theo khoa/tháng; xem lại khi giá gọi AI giảm hoặc tỷ lệ DS duyệt giảm.</t>
  </si>
  <si>
    <t xml:space="preserve">Điều kiện dừng / đổi hướng</t>
  </si>
  <si>
    <t xml:space="preserve">NẾU hết tháng 3 thử nghiệm bác sĩ phải sửa nhiều trên 30% bản nháp (đo trên ≥1.000 bản/tháng của 1 khoa), HOẶC có 1 lỗi thuốc lọt đến người bệnh, THÌ dừng, không mở sang khoa khác.</t>
  </si>
  <si>
    <t xml:space="preserve">NẾU bác sĩ sửa nhiều &gt;30% ở khoa thứ hai sau 2 tháng, THÌ lùi về 1 khoa.</t>
  </si>
  <si>
    <t xml:space="preserve">NẾU có 1 lỗi thuốc lọt trong bất kỳ thử nghiệm nào, THÌ dừng tính năng đó và lùi một mức.</t>
  </si>
  <si>
    <t xml:space="preserve">4 · Lịch rà soát lộ trình</t>
  </si>
  <si>
    <t xml:space="preserve">Rà soát theo lịch VÀ mỗi khi có sự kiện. Ở mốc 30/60/90 chọn 1 trong 4: đi tiếp, sửa, đổi hướng, dừng.</t>
  </si>
  <si>
    <t xml:space="preserve">Mốc / sự kiện</t>
  </si>
  <si>
    <t xml:space="preserve">Nhìn vào chỉ số nào</t>
  </si>
  <si>
    <t xml:space="preserve">Quyết định có thể đưa ra</t>
  </si>
  <si>
    <t xml:space="preserve">Ai quyết</t>
  </si>
  <si>
    <t xml:space="preserve">Ngày 30</t>
  </si>
  <si>
    <t xml:space="preserve">Bác sĩ sửa nhiều (%) hàng tuần; số bản đã dược sĩ kiểm; lỗi thuốc lọt (cần 0); số cờ thừa</t>
  </si>
  <si>
    <t xml:space="preserve">Đi tiếp, hoặc sửa (đổi luật đối chiếu thuốc); dừng nếu có 1 lỗi thuốc lọt</t>
  </si>
  <si>
    <t xml:space="preserve">BS. Phương và DS. Hải; trưởng nhóm sản phẩm</t>
  </si>
  <si>
    <t xml:space="preserve">Ngày 60</t>
  </si>
  <si>
    <t xml:space="preserve">Thời gian bác sĩ mỗi bản (mục tiêu ≤6 phút); tỷ lệ sửa nhiều (≤30%); tỷ lệ đạt trên mẫu dược sĩ kiểm</t>
  </si>
  <si>
    <t xml:space="preserve">Đi tiếp, sửa, hoặc đổi hướng sang việc khác nếu thời gian không giảm</t>
  </si>
  <si>
    <t xml:space="preserve">BS. Phương; trưởng nhóm sản phẩm</t>
  </si>
  <si>
    <t xml:space="preserve">Ngày 90</t>
  </si>
  <si>
    <t xml:space="preserve">Lỗi thuốc lọt = 0 trên ≥1.500 bản; sửa nhiều ≤30% trên ≥1.000 bản/tháng; biên gộp theo tỷ lệ DS duyệt</t>
  </si>
  <si>
    <t xml:space="preserve">Lên Mức 2, đi tiếp ở Mức 1, đổi hướng, hoặc dừng (điều kiện dừng hết tháng 3 thử nghiệm)</t>
  </si>
  <si>
    <t xml:space="preserve">Ban lãnh đạo, có chữ ký xác nhận của BS. Phương</t>
  </si>
  <si>
    <t xml:space="preserve">Có mô hình mới / giá gọi AI giảm mạnh</t>
  </si>
  <si>
    <t xml:space="preserve">Chi phí gọi AI mỗi bản (hiện 2.968 đ) và biên gộp</t>
  </si>
  <si>
    <t xml:space="preserve">Chạy lại chấm bộ đề và tính lại biên; chỉ đổi mô hình nếu qua cổng 0 lỗi nghiêm trọng</t>
  </si>
  <si>
    <t xml:space="preserve">Kỹ sư trưởng và ban lãnh đạo</t>
  </si>
  <si>
    <t xml:space="preserve">Nền tảng hoặc đối thủ ra tính năng tương tự</t>
  </si>
  <si>
    <t xml:space="preserve">Tính năng tóm tắt trong phần mềm bệnh án hoặc đối thủ; khác biệt ở đối chiếu thuốc</t>
  </si>
  <si>
    <t xml:space="preserve">Đi tiếp, đổi hướng sang đối chiếu thuốc, hoặc mua tính năng sẵn có</t>
  </si>
  <si>
    <t xml:space="preserve">Ban lãnh đạo</t>
  </si>
  <si>
    <t xml:space="preserve">Quy định pháp lý thay đổi</t>
  </si>
  <si>
    <t xml:space="preserve">Luật AI số 134/2025/QH15 và quy định dữ liệu sức khỏe: mức rủi ro và yêu cầu thông báo</t>
  </si>
  <si>
    <t xml:space="preserve">Sửa quy trình, dừng thử nghiệm nếu không tuân thủ</t>
  </si>
  <si>
    <t xml:space="preserve">Ban lãnh đạo và tư vấn pháp lý</t>
  </si>
  <si>
    <t xml:space="preserve">Ngày 90 chưa đo được giá trị vòng đời thật: khách mới dùng 3 tháng. Chỉ dùng chỉ số đã có đủ dữ liệu.</t>
  </si>
  <si>
    <t xml:space="preserve">Ngày 30/60/90 tính từ ngày bắt đầu thử nghiệm (sau khi qua cổng Mức 1).</t>
  </si>
  <si>
    <t xml:space="preserve">5 · Lộ trình 1 slide cho lãnh đạo</t>
  </si>
  <si>
    <t xml:space="preserve">Kết luận trước. Không quá 60 chữ mỗi ô (cột C tự đếm).</t>
  </si>
  <si>
    <t xml:space="preserve">Số chữ</t>
  </si>
  <si>
    <t xml:space="preserve">Đạt?</t>
  </si>
  <si>
    <t xml:space="preserve">Kết luận (1 câu)</t>
  </si>
  <si>
    <t xml:space="preserve">Chưa mở rộng RaViện: trước hết sửa lỗi insulin và chạy lại bộ 45 ca đến khi 0 lỗi nghiêm trọng, rồi thử nghiệm 3 tháng ở 1 khoa nội với bác sĩ đọc và ký 100%. Chỉ mở rộng nếu qua cổng.</t>
  </si>
  <si>
    <t xml:space="preserve">3 việc chính</t>
  </si>
  <si>
    <t xml:space="preserve">1) Sửa lỗi insulin, thêm 5 ca, chạy lại bộ đề. 2) Đối chiếu thuốc ra viện với y lệnh cuối, dược sĩ kiểm. 3) Soạn nháp diễn biến và chẩn đoán cho 1 khoa. Chờ: lời dặn, chuyển khoa, mâu thuẫn. Không làm: mã hoá bệnh.</t>
  </si>
  <si>
    <t xml:space="preserve">Cần gì (người, tiền, dữ liệu)</t>
  </si>
  <si>
    <t xml:space="preserve">DS. Hải chấm phần thuốc, BS. Phương duyệt; khoảng 23 giờ chuyên gia để chạy lại 45 ca; 1 kỹ sư sửa lỗi; 1 khoa nội thử nghiệm khoảng 1.200 bản mỗi tháng; hồ sơ ẩn danh, y lệnh cuối, hạ tầng trong bệnh viện.</t>
  </si>
  <si>
    <t xml:space="preserve">Rủi ro lớn nhất &amp; cách xử lý</t>
  </si>
  <si>
    <t xml:space="preserve">Lỗi thuốc lọt đến người bệnh hoặc bác sĩ phải sửa nhiều. Xử lý: bác sĩ ký 100%, máy không tự gửi, dược sĩ kiểm thuốc. Dừng nếu sửa nhiều trên 30% hoặc có 1 lỗi thuốc lọt. Biên gộp chỉ đạt 60,7% khi dược sĩ duyệt 10%.</t>
  </si>
  <si>
    <t xml:space="preserve">Khi nào xem lại</t>
  </si>
  <si>
    <t xml:space="preserve">Ngày 30, 60, 90 của thử nghiệm; quyết định mở rộng hết tháng 3 thử nghiệm. Nếu bệnh viện ký chậm 6 tháng thì hết tiền ở tháng 9, nên chốt hợp đồng ngay khi qua cổng. Xem lại ngay khi có mô hình, giá hoặc quy định mới.</t>
  </si>
  <si>
    <t xml:space="preserve">6 · Tự kiểm tra</t>
  </si>
  <si>
    <t xml:space="preserve">Chưa 'Đạt' thì quay lại sửa trước khi nộp file.</t>
  </si>
  <si>
    <t xml:space="preserve">Điểm kiểm tra</t>
  </si>
  <si>
    <t xml:space="preserve">Kết quả</t>
  </si>
  <si>
    <t xml:space="preserve">Số việc đã chấm điểm (cần ≥ 5)</t>
  </si>
  <si>
    <t xml:space="preserve">Việc được giữ lại mà thiếu giả thuyết hoặc chỉ số có con số (cần = 0)</t>
  </si>
  <si>
    <t xml:space="preserve">Số mức tự động có cổng đánh giá kèm con số (cần ≥ 2, không tính Mức 0)</t>
  </si>
  <si>
    <t xml:space="preserve">Bảng lộ trình: số ô tầng 'Bây giờ' đã điền (cần 8/8)</t>
  </si>
  <si>
    <t xml:space="preserve">Điều kiện dừng tầng 'Bây giờ' có con số</t>
  </si>
  <si>
    <t xml:space="preserve">Căn cứ kinh tế có con số (từ số liệu của đề)</t>
  </si>
  <si>
    <t xml:space="preserve">Slide lãnh đạo: số ô đạt (đủ chữ, không quá 60 chữ; cần 5)</t>
  </si>
  <si>
    <t xml:space="preserve">Số mức tự động có biên lợi nhuận ≥ 60% (cần ≥ 1)</t>
  </si>
  <si>
    <t xml:space="preserve">7 · Thang điểm sản phẩm (100 điểm)</t>
  </si>
  <si>
    <t xml:space="preserve">Tiêu chí</t>
  </si>
  <si>
    <t xml:space="preserve">Điểm</t>
  </si>
  <si>
    <t xml:space="preserve">Bài đạt khi</t>
  </si>
  <si>
    <t xml:space="preserve">Điểm nhóm</t>
  </si>
  <si>
    <t xml:space="preserve">Theo kết quả và giả thuyết</t>
  </si>
  <si>
    <t xml:space="preserve">Mỗi việc có giả thuyết, chỉ số và ngưỡng, không chỉ là tên tính năng</t>
  </si>
  <si>
    <t xml:space="preserve">Ưu tiên có căn cứ</t>
  </si>
  <si>
    <t xml:space="preserve">Bảng điểm ≥ 5 việc; có sẵn sàng dữ liệu, đánh giá và rủi ro bị nuốt; dùng số liệu kinh tế của đề; đổi thứ tự hoặc bỏ việc thì ghi lý do</t>
  </si>
  <si>
    <t xml:space="preserve">Mức tự động và cổng đánh giá</t>
  </si>
  <si>
    <t xml:space="preserve">≥ 2 mức có cổng bằng con số (chỉ số, ngưỡng, cỡ mẫu); có vai trò của người; có chi phí mỗi việc theo mức</t>
  </si>
  <si>
    <t xml:space="preserve">Điều kiện cần và rủi ro</t>
  </si>
  <si>
    <t xml:space="preserve">Nêu dữ liệu, hạ tầng, tuân thủ; điều kiện dừng đo được với quy mô thử nghiệm; có lịch rà soát</t>
  </si>
  <si>
    <t xml:space="preserve">Slide lãnh đạo</t>
  </si>
  <si>
    <t xml:space="preserve">Kết luận trước, ≤ 60 chữ mỗi ô, trả lời được "cần gì" và "khi nào xem lại"</t>
  </si>
  <si>
    <t xml:space="preserve">TỔNG</t>
  </si>
  <si>
    <t xml:space="preserve">THANG ĐIỂM TRÌNH BÀY (1–5 điểm mỗi tiêu chí)</t>
  </si>
  <si>
    <t xml:space="preserve">Mức 1</t>
  </si>
  <si>
    <t xml:space="preserve">Mức 3</t>
  </si>
  <si>
    <t xml:space="preserve">Mức 5</t>
  </si>
  <si>
    <t xml:space="preserve">Rõ ràng</t>
  </si>
  <si>
    <t xml:space="preserve">Câu đầu chưa có kết luận; người nghe phải đoán nhóm làm gì trước</t>
  </si>
  <si>
    <t xml:space="preserve">Có kết luận nhưng nói sau phần mở đầu, hoặc thiếu mốc quyết định</t>
  </si>
  <si>
    <t xml:space="preserve">Câu đầu có việc làm trước, mục tiêu bằng số và ngày quyết định</t>
  </si>
  <si>
    <t xml:space="preserve">Bằng chứng</t>
  </si>
  <si>
    <t xml:space="preserve">Không có cổng đánh giá, hoặc số không có nguồn</t>
  </si>
  <si>
    <t xml:space="preserve">Có cổng nhưng thiếu cỡ mẫu hoặc căn cứ kinh tế</t>
  </si>
  <si>
    <t xml:space="preserve">Cổng đủ chỉ số, ngưỡng, cỡ mẫu; căn cứ kinh tế lấy từ số liệu của đề</t>
  </si>
  <si>
    <t xml:space="preserve">Trả lời phản biện</t>
  </si>
  <si>
    <t xml:space="preserve">Né câu hỏi hoặc trả lời chung chung</t>
  </si>
  <si>
    <t xml:space="preserve">Trả lời đúng ý nhưng không dẫn số</t>
  </si>
  <si>
    <t xml:space="preserve">Trả lời thẳng, dẫn đúng con số trong file</t>
  </si>
  <si>
    <t xml:space="preserve">Đúng giờ</t>
  </si>
  <si>
    <t xml:space="preserve">Quá 4 phút</t>
  </si>
  <si>
    <t xml:space="preserve">Từ 3 đến 4 phút</t>
  </si>
  <si>
    <t xml:space="preserve">Không quá 3 phút</t>
  </si>
  <si>
    <t xml:space="preserve">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</si>
</sst>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numFmts count="6">
    <numFmt numFmtId="164" formatCode="General"/>
    <numFmt numFmtId="165" formatCode="General"/>
    <numFmt numFmtId="166" formatCode="0%"/>
    <numFmt numFmtId="167" formatCode="#,##0;[RED]\-#,##0"/>
    <numFmt numFmtId="168" formatCode="0.0"/>
    <numFmt numFmtId="169" formatCode="0"/>
  </numFmts>
  <fonts count="11">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sz val="11"/>
      <name val="Calibri"/>
      <family val="0"/>
      <charset val="1"/>
    </font>
    <font>
      <i val="true"/>
      <sz val="10"/>
      <color rgb="FF595959"/>
      <name val="Calibri"/>
      <family val="0"/>
      <charset val="1"/>
    </font>
    <font>
      <b val="true"/>
      <sz val="12"/>
      <name val="Cambria"/>
      <family val="0"/>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top" textRotation="0" wrapText="true" indent="0" shrinkToFit="false"/>
      <protection locked="false" hidden="false"/>
    </xf>
    <xf numFmtId="165"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false" hidden="false"/>
    </xf>
    <xf numFmtId="164" fontId="8" fillId="2" borderId="0" xfId="0" applyFont="true" applyBorder="false" applyAlignment="true" applyProtection="true">
      <alignment horizontal="general" vertical="top" textRotation="0" wrapText="true" indent="0" shrinkToFit="false"/>
      <protection locked="false" hidden="false"/>
    </xf>
    <xf numFmtId="166" fontId="8" fillId="2" borderId="0" xfId="0" applyFont="true" applyBorder="false" applyAlignment="true" applyProtection="true">
      <alignment horizontal="general" vertical="bottom" textRotation="0" wrapText="false" indent="0" shrinkToFit="false"/>
      <protection locked="fals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true">
      <alignment horizontal="general" vertical="bottom" textRotation="0" wrapText="false" indent="0" shrinkToFit="false"/>
      <protection locked="fals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true">
      <alignment horizontal="general" vertical="bottom" textRotation="0" wrapText="false" indent="0" shrinkToFit="false"/>
      <protection locked="false" hidden="false"/>
    </xf>
    <xf numFmtId="169" fontId="8" fillId="2" borderId="0" xfId="0" applyFont="true" applyBorder="false" applyAlignment="tru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9" fontId="8" fillId="3"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1" t="s">
        <v>2</v>
      </c>
    </row>
    <row r="5" customFormat="false" ht="15" hidden="false" customHeight="true" outlineLevel="0" collapsed="false">
      <c r="A5" s="1" t="s">
        <v>3</v>
      </c>
    </row>
    <row r="6" customFormat="false" ht="15" hidden="false" customHeight="true" outlineLevel="0" collapsed="false">
      <c r="A6" s="1" t="s">
        <v>4</v>
      </c>
    </row>
    <row r="7" customFormat="false" ht="15" hidden="false" customHeight="true" outlineLevel="0" collapsed="false">
      <c r="A7" s="1" t="s">
        <v>5</v>
      </c>
    </row>
    <row r="8" customFormat="false" ht="15" hidden="false" customHeight="true" outlineLevel="0" collapsed="false">
      <c r="A8" s="1" t="s">
        <v>6</v>
      </c>
    </row>
    <row r="9" customFormat="false" ht="15" hidden="false" customHeight="true" outlineLevel="0" collapsed="false">
      <c r="A9" s="1" t="s">
        <v>7</v>
      </c>
    </row>
    <row r="11" customFormat="false" ht="15" hidden="false" customHeight="true" outlineLevel="0" collapsed="false">
      <c r="A11" s="1" t="s">
        <v>8</v>
      </c>
    </row>
    <row r="12" customFormat="false" ht="15" hidden="false" customHeight="true" outlineLevel="0" collapsed="false">
      <c r="A12" s="4" t="s">
        <v>9</v>
      </c>
    </row>
    <row r="13" customFormat="false" ht="15" hidden="false" customHeight="true" outlineLevel="0" collapsed="false">
      <c r="A13" s="5" t="s">
        <v>10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4" min="3" style="1" width="46"/>
    <col collapsed="false" customWidth="true" hidden="false" outlineLevel="0" max="5" min="5" style="1" width="36"/>
  </cols>
  <sheetData>
    <row r="1" customFormat="false" ht="17.25" hidden="false" customHeight="true" outlineLevel="0" collapsed="false">
      <c r="A1" s="2" t="s">
        <v>11</v>
      </c>
    </row>
    <row r="2" customFormat="false" ht="15" hidden="false" customHeight="true" outlineLevel="0" collapsed="false">
      <c r="A2" s="3" t="s">
        <v>12</v>
      </c>
    </row>
    <row r="4" customFormat="false" ht="26.25" hidden="false" customHeight="true" outlineLevel="0" collapsed="false">
      <c r="A4" s="6" t="s">
        <v>13</v>
      </c>
      <c r="B4" s="6" t="s">
        <v>14</v>
      </c>
      <c r="C4" s="6" t="s">
        <v>15</v>
      </c>
      <c r="D4" s="6" t="s">
        <v>16</v>
      </c>
      <c r="E4" s="6" t="s">
        <v>17</v>
      </c>
    </row>
    <row r="5" customFormat="false" ht="33.75" hidden="false" customHeight="true" outlineLevel="0" collapsed="false">
      <c r="A5" s="7" t="s">
        <v>18</v>
      </c>
      <c r="B5" s="8" t="s">
        <v>19</v>
      </c>
      <c r="C5" s="7" t="s">
        <v>20</v>
      </c>
      <c r="D5" s="7" t="s">
        <v>21</v>
      </c>
      <c r="E5" s="8" t="s">
        <v>22</v>
      </c>
    </row>
    <row r="6" customFormat="false" ht="33.75" hidden="false" customHeight="true" outlineLevel="0" collapsed="false">
      <c r="A6" s="7" t="s">
        <v>23</v>
      </c>
      <c r="B6" s="8" t="s">
        <v>19</v>
      </c>
      <c r="C6" s="7" t="s">
        <v>24</v>
      </c>
      <c r="D6" s="7" t="s">
        <v>25</v>
      </c>
      <c r="E6" s="8" t="s">
        <v>26</v>
      </c>
    </row>
    <row r="7" customFormat="false" ht="33.75" hidden="false" customHeight="true" outlineLevel="0" collapsed="false">
      <c r="A7" s="7" t="s">
        <v>27</v>
      </c>
      <c r="B7" s="8" t="s">
        <v>19</v>
      </c>
      <c r="C7" s="7" t="s">
        <v>28</v>
      </c>
      <c r="D7" s="7" t="s">
        <v>29</v>
      </c>
      <c r="E7" s="8" t="s">
        <v>30</v>
      </c>
    </row>
    <row r="8" customFormat="false" ht="33.75" hidden="false" customHeight="true" outlineLevel="0" collapsed="false">
      <c r="A8" s="7" t="s">
        <v>31</v>
      </c>
      <c r="B8" s="8" t="s">
        <v>19</v>
      </c>
      <c r="C8" s="7" t="s">
        <v>32</v>
      </c>
      <c r="D8" s="7" t="s">
        <v>33</v>
      </c>
      <c r="E8" s="8" t="s">
        <v>34</v>
      </c>
    </row>
    <row r="9" customFormat="false" ht="33.75" hidden="false" customHeight="true" outlineLevel="0" collapsed="false">
      <c r="A9" s="7" t="s">
        <v>35</v>
      </c>
      <c r="B9" s="8" t="s">
        <v>19</v>
      </c>
      <c r="C9" s="7" t="s">
        <v>36</v>
      </c>
      <c r="D9" s="7" t="s">
        <v>37</v>
      </c>
      <c r="E9" s="8" t="s">
        <v>38</v>
      </c>
    </row>
    <row r="10" customFormat="false" ht="33.75" hidden="false" customHeight="true" outlineLevel="0" collapsed="false">
      <c r="A10" s="7" t="s">
        <v>39</v>
      </c>
      <c r="B10" s="8" t="s">
        <v>19</v>
      </c>
      <c r="C10" s="7" t="s">
        <v>40</v>
      </c>
      <c r="D10" s="7" t="s">
        <v>41</v>
      </c>
      <c r="E10" s="8" t="s">
        <v>42</v>
      </c>
    </row>
    <row r="12" customFormat="false" ht="15" hidden="false" customHeight="true" outlineLevel="0" collapsed="false">
      <c r="A12" s="9" t="s">
        <v>43</v>
      </c>
      <c r="B12" s="5" t="n">
        <f aca="false">COUNTIF(B5:B10,"Có")</f>
        <v>6</v>
      </c>
    </row>
    <row r="13" customFormat="false" ht="15" hidden="false" customHeight="true" outlineLevel="0" collapsed="false">
      <c r="A13" s="3" t="s">
        <v>44</v>
      </c>
    </row>
  </sheetData>
  <sheetProtection sheet="true" formatColumns="false" formatRows="false"/>
  <dataValidations count="1">
    <dataValidation allowBlank="true" errorStyle="stop" operator="between" showDropDown="false" showErrorMessage="false" showInputMessage="false" sqref="B5:B10" type="list">
      <formula1>"Có,Chưa"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28"/>
    <col collapsed="false" customWidth="true" hidden="false" outlineLevel="0" max="4" min="4" style="1" width="38"/>
    <col collapsed="false" customWidth="true" hidden="false" outlineLevel="0" max="5" min="5" style="1" width="32"/>
    <col collapsed="false" customWidth="true" hidden="false" outlineLevel="0" max="7" min="6" style="1" width="8"/>
    <col collapsed="false" customWidth="true" hidden="false" outlineLevel="0" max="8" min="8" style="1" width="11"/>
    <col collapsed="false" customWidth="true" hidden="false" outlineLevel="0" max="9" min="9" style="1" width="8"/>
    <col collapsed="false" customWidth="true" hidden="false" outlineLevel="0" max="10" min="10" style="1" width="11"/>
    <col collapsed="false" customWidth="true" hidden="false" outlineLevel="0" max="11" min="11" style="1" width="10"/>
    <col collapsed="false" customWidth="true" hidden="false" outlineLevel="0" max="12" min="12" style="1" width="13"/>
    <col collapsed="false" customWidth="true" hidden="false" outlineLevel="0" max="14" min="13" style="1" width="10"/>
    <col collapsed="false" customWidth="true" hidden="false" outlineLevel="0" max="15" min="15" style="1" width="12"/>
    <col collapsed="false" customWidth="true" hidden="false" outlineLevel="0" max="16" min="16" style="1" width="14"/>
    <col collapsed="false" customWidth="true" hidden="false" outlineLevel="0" max="17" min="17" style="1" width="58"/>
  </cols>
  <sheetData>
    <row r="1" customFormat="false" ht="17.25" hidden="false" customHeight="true" outlineLevel="0" collapsed="false">
      <c r="A1" s="2" t="s">
        <v>45</v>
      </c>
    </row>
    <row r="2" customFormat="false" ht="15" hidden="false" customHeight="true" outlineLevel="0" collapsed="false">
      <c r="A2" s="3" t="s">
        <v>46</v>
      </c>
    </row>
    <row r="4" customFormat="false" ht="39" hidden="false" customHeight="true" outlineLevel="0" collapsed="false">
      <c r="A4" s="10" t="s">
        <v>47</v>
      </c>
      <c r="B4" s="10" t="s">
        <v>48</v>
      </c>
      <c r="C4" s="10" t="s">
        <v>49</v>
      </c>
      <c r="D4" s="10" t="s">
        <v>50</v>
      </c>
      <c r="E4" s="10" t="s">
        <v>51</v>
      </c>
      <c r="F4" s="10" t="s">
        <v>52</v>
      </c>
      <c r="G4" s="10" t="s">
        <v>53</v>
      </c>
      <c r="H4" s="10" t="s">
        <v>54</v>
      </c>
      <c r="I4" s="10" t="s">
        <v>55</v>
      </c>
      <c r="J4" s="10" t="s">
        <v>56</v>
      </c>
      <c r="K4" s="10" t="s">
        <v>57</v>
      </c>
      <c r="L4" s="10" t="s">
        <v>58</v>
      </c>
      <c r="M4" s="10" t="s">
        <v>59</v>
      </c>
      <c r="N4" s="10" t="s">
        <v>60</v>
      </c>
      <c r="O4" s="10" t="s">
        <v>61</v>
      </c>
      <c r="P4" s="10" t="s">
        <v>62</v>
      </c>
      <c r="Q4" s="10" t="s">
        <v>63</v>
      </c>
    </row>
    <row r="5" customFormat="false" ht="150" hidden="false" customHeight="true" outlineLevel="0" collapsed="false">
      <c r="A5" s="11" t="n">
        <v>1</v>
      </c>
      <c r="B5" s="8" t="s">
        <v>64</v>
      </c>
      <c r="C5" s="8" t="s">
        <v>65</v>
      </c>
      <c r="D5" s="8" t="s">
        <v>66</v>
      </c>
      <c r="E5" s="8" t="s">
        <v>67</v>
      </c>
      <c r="F5" s="12" t="n">
        <v>5</v>
      </c>
      <c r="G5" s="12" t="n">
        <v>5</v>
      </c>
      <c r="H5" s="12" t="n">
        <v>0.8</v>
      </c>
      <c r="I5" s="12" t="n">
        <v>3</v>
      </c>
      <c r="J5" s="12" t="n">
        <v>0.7</v>
      </c>
      <c r="K5" s="12" t="n">
        <v>0.8</v>
      </c>
      <c r="L5" s="12" t="n">
        <v>0.4</v>
      </c>
      <c r="M5" s="13" t="n">
        <f aca="false">IF(COUNT(F5:L5)&lt;7,"",ROUND(F5*G5*H5/I5*(0.5+0.5*AVERAGE(J5:K5))*(1-0.5*L5),2))</f>
        <v>4.67</v>
      </c>
      <c r="N5" s="13" t="n">
        <f aca="false">IF(M5="","",RANK(M5,$M$5:$M$14))</f>
        <v>3</v>
      </c>
      <c r="O5" s="14" t="str">
        <f aca="false">IF(B5="","",IF(OR(D5="",E5=""),"Thiếu",IF(SUMPRODUCT(--ISNUMBER(SEARCH({"0","1","2","3","4","5","6","7","8","9"},E5)))&gt;0,"Có","Thiếu")))</f>
        <v>Có</v>
      </c>
      <c r="P5" s="15" t="s">
        <v>68</v>
      </c>
      <c r="Q5" s="16" t="s">
        <v>69</v>
      </c>
    </row>
    <row r="6" customFormat="false" ht="150" hidden="false" customHeight="true" outlineLevel="0" collapsed="false">
      <c r="A6" s="11" t="n">
        <v>2</v>
      </c>
      <c r="B6" s="8" t="s">
        <v>70</v>
      </c>
      <c r="C6" s="8" t="s">
        <v>71</v>
      </c>
      <c r="D6" s="8" t="s">
        <v>72</v>
      </c>
      <c r="E6" s="8" t="s">
        <v>73</v>
      </c>
      <c r="F6" s="12" t="n">
        <v>5</v>
      </c>
      <c r="G6" s="12" t="n">
        <v>5</v>
      </c>
      <c r="H6" s="12" t="n">
        <v>0.8</v>
      </c>
      <c r="I6" s="12" t="n">
        <v>2</v>
      </c>
      <c r="J6" s="12" t="n">
        <v>0.8</v>
      </c>
      <c r="K6" s="12" t="n">
        <v>0.6</v>
      </c>
      <c r="L6" s="12" t="n">
        <v>0.2</v>
      </c>
      <c r="M6" s="13" t="n">
        <f aca="false">IF(COUNT(F6:L6)&lt;7,"",ROUND(F6*G6*H6/I6*(0.5+0.5*AVERAGE(J6:K6))*(1-0.5*L6),2))</f>
        <v>7.65</v>
      </c>
      <c r="N6" s="13" t="n">
        <f aca="false">IF(M6="","",RANK(M6,$M$5:$M$14))</f>
        <v>2</v>
      </c>
      <c r="O6" s="14" t="str">
        <f aca="false">IF(B6="","",IF(OR(D6="",E6=""),"Thiếu",IF(SUMPRODUCT(--ISNUMBER(SEARCH({"0","1","2","3","4","5","6","7","8","9"},E6)))&gt;0,"Có","Thiếu")))</f>
        <v>Có</v>
      </c>
      <c r="P6" s="15" t="s">
        <v>68</v>
      </c>
      <c r="Q6" s="16" t="s">
        <v>74</v>
      </c>
    </row>
    <row r="7" customFormat="false" ht="150" hidden="false" customHeight="true" outlineLevel="0" collapsed="false">
      <c r="A7" s="11" t="n">
        <v>3</v>
      </c>
      <c r="B7" s="8" t="s">
        <v>75</v>
      </c>
      <c r="C7" s="8" t="s">
        <v>76</v>
      </c>
      <c r="D7" s="8" t="s">
        <v>77</v>
      </c>
      <c r="E7" s="8" t="s">
        <v>78</v>
      </c>
      <c r="F7" s="12" t="n">
        <v>3</v>
      </c>
      <c r="G7" s="12" t="n">
        <v>4</v>
      </c>
      <c r="H7" s="12" t="n">
        <v>0.5</v>
      </c>
      <c r="I7" s="12" t="n">
        <v>3</v>
      </c>
      <c r="J7" s="12" t="n">
        <v>0.6</v>
      </c>
      <c r="K7" s="12" t="n">
        <v>0.4</v>
      </c>
      <c r="L7" s="12" t="n">
        <v>0.3</v>
      </c>
      <c r="M7" s="13" t="n">
        <f aca="false">IF(COUNT(F7:L7)&lt;7,"",ROUND(F7*G7*H7/I7*(0.5+0.5*AVERAGE(J7:K7))*(1-0.5*L7),2))</f>
        <v>1.28</v>
      </c>
      <c r="N7" s="13" t="n">
        <f aca="false">IF(M7="","",RANK(M7,$M$5:$M$14))</f>
        <v>5</v>
      </c>
      <c r="O7" s="14" t="str">
        <f aca="false">IF(B7="","",IF(OR(D7="",E7=""),"Thiếu",IF(SUMPRODUCT(--ISNUMBER(SEARCH({"0","1","2","3","4","5","6","7","8","9"},E7)))&gt;0,"Có","Thiếu")))</f>
        <v>Có</v>
      </c>
      <c r="P7" s="15" t="s">
        <v>79</v>
      </c>
      <c r="Q7" s="16" t="s">
        <v>80</v>
      </c>
    </row>
    <row r="8" customFormat="false" ht="150" hidden="false" customHeight="true" outlineLevel="0" collapsed="false">
      <c r="A8" s="11" t="n">
        <v>4</v>
      </c>
      <c r="B8" s="8" t="s">
        <v>81</v>
      </c>
      <c r="C8" s="8" t="s">
        <v>82</v>
      </c>
      <c r="D8" s="8" t="s">
        <v>83</v>
      </c>
      <c r="E8" s="8" t="s">
        <v>84</v>
      </c>
      <c r="F8" s="12" t="n">
        <v>4</v>
      </c>
      <c r="G8" s="12" t="n">
        <v>3</v>
      </c>
      <c r="H8" s="12" t="n">
        <v>0.5</v>
      </c>
      <c r="I8" s="12" t="n">
        <v>2</v>
      </c>
      <c r="J8" s="12" t="n">
        <v>0.6</v>
      </c>
      <c r="K8" s="12" t="n">
        <v>0.3</v>
      </c>
      <c r="L8" s="12" t="n">
        <v>0.5</v>
      </c>
      <c r="M8" s="13" t="n">
        <f aca="false">IF(COUNT(F8:L8)&lt;7,"",ROUND(F8*G8*H8/I8*(0.5+0.5*AVERAGE(J8:K8))*(1-0.5*L8),2))</f>
        <v>1.63</v>
      </c>
      <c r="N8" s="13" t="n">
        <f aca="false">IF(M8="","",RANK(M8,$M$5:$M$14))</f>
        <v>4</v>
      </c>
      <c r="O8" s="14" t="str">
        <f aca="false">IF(B8="","",IF(OR(D8="",E8=""),"Thiếu",IF(SUMPRODUCT(--ISNUMBER(SEARCH({"0","1","2","3","4","5","6","7","8","9"},E8)))&gt;0,"Có","Thiếu")))</f>
        <v>Có</v>
      </c>
      <c r="P8" s="15" t="s">
        <v>79</v>
      </c>
      <c r="Q8" s="16" t="s">
        <v>85</v>
      </c>
    </row>
    <row r="9" customFormat="false" ht="150" hidden="false" customHeight="true" outlineLevel="0" collapsed="false">
      <c r="A9" s="11" t="n">
        <v>5</v>
      </c>
      <c r="B9" s="8" t="s">
        <v>86</v>
      </c>
      <c r="C9" s="8" t="s">
        <v>87</v>
      </c>
      <c r="D9" s="8" t="s">
        <v>88</v>
      </c>
      <c r="E9" s="8" t="s">
        <v>89</v>
      </c>
      <c r="F9" s="12" t="n">
        <v>2</v>
      </c>
      <c r="G9" s="12" t="n">
        <v>3</v>
      </c>
      <c r="H9" s="12" t="n">
        <v>0.5</v>
      </c>
      <c r="I9" s="12" t="n">
        <v>3</v>
      </c>
      <c r="J9" s="12" t="n">
        <v>0.5</v>
      </c>
      <c r="K9" s="12" t="n">
        <v>0.1</v>
      </c>
      <c r="L9" s="12" t="n">
        <v>0.4</v>
      </c>
      <c r="M9" s="13" t="n">
        <f aca="false">IF(COUNT(F9:L9)&lt;7,"",ROUND(F9*G9*H9/I9*(0.5+0.5*AVERAGE(J9:K9))*(1-0.5*L9),2))</f>
        <v>0.52</v>
      </c>
      <c r="N9" s="13" t="n">
        <f aca="false">IF(M9="","",RANK(M9,$M$5:$M$14))</f>
        <v>6</v>
      </c>
      <c r="O9" s="14" t="str">
        <f aca="false">IF(B9="","",IF(OR(D9="",E9=""),"Thiếu",IF(SUMPRODUCT(--ISNUMBER(SEARCH({"0","1","2","3","4","5","6","7","8","9"},E9)))&gt;0,"Có","Thiếu")))</f>
        <v>Có</v>
      </c>
      <c r="P9" s="15" t="s">
        <v>79</v>
      </c>
      <c r="Q9" s="16" t="s">
        <v>90</v>
      </c>
    </row>
    <row r="10" customFormat="false" ht="150" hidden="false" customHeight="true" outlineLevel="0" collapsed="false">
      <c r="A10" s="11" t="n">
        <v>6</v>
      </c>
      <c r="B10" s="8" t="s">
        <v>91</v>
      </c>
      <c r="C10" s="8" t="s">
        <v>92</v>
      </c>
      <c r="D10" s="8" t="s">
        <v>93</v>
      </c>
      <c r="E10" s="8" t="s">
        <v>94</v>
      </c>
      <c r="F10" s="12" t="n">
        <v>2</v>
      </c>
      <c r="G10" s="12" t="n">
        <v>2</v>
      </c>
      <c r="H10" s="12" t="n">
        <v>0.8</v>
      </c>
      <c r="I10" s="12" t="n">
        <v>4</v>
      </c>
      <c r="J10" s="12" t="n">
        <v>0.8</v>
      </c>
      <c r="K10" s="12" t="n">
        <v>0.5</v>
      </c>
      <c r="L10" s="12" t="n">
        <v>0.9</v>
      </c>
      <c r="M10" s="13" t="n">
        <f aca="false">IF(COUNT(F10:L10)&lt;7,"",ROUND(F10*G10*H10/I10*(0.5+0.5*AVERAGE(J10:K10))*(1-0.5*L10),2))</f>
        <v>0.36</v>
      </c>
      <c r="N10" s="13" t="n">
        <f aca="false">IF(M10="","",RANK(M10,$M$5:$M$14))</f>
        <v>7</v>
      </c>
      <c r="O10" s="14" t="str">
        <f aca="false">IF(B10="","",IF(OR(D10="",E10=""),"Thiếu",IF(SUMPRODUCT(--ISNUMBER(SEARCH({"0","1","2","3","4","5","6","7","8","9"},E10)))&gt;0,"Có","Thiếu")))</f>
        <v>Có</v>
      </c>
      <c r="P10" s="15" t="s">
        <v>95</v>
      </c>
      <c r="Q10" s="16" t="s">
        <v>96</v>
      </c>
    </row>
    <row r="11" customFormat="false" ht="150" hidden="false" customHeight="true" outlineLevel="0" collapsed="false">
      <c r="A11" s="11" t="n">
        <v>7</v>
      </c>
      <c r="B11" s="8" t="s">
        <v>97</v>
      </c>
      <c r="C11" s="8" t="s">
        <v>98</v>
      </c>
      <c r="D11" s="8" t="s">
        <v>99</v>
      </c>
      <c r="E11" s="8" t="s">
        <v>100</v>
      </c>
      <c r="F11" s="12" t="n">
        <v>5</v>
      </c>
      <c r="G11" s="12" t="n">
        <v>5</v>
      </c>
      <c r="H11" s="12" t="n">
        <v>1</v>
      </c>
      <c r="I11" s="12" t="n">
        <v>2</v>
      </c>
      <c r="J11" s="12" t="n">
        <v>1</v>
      </c>
      <c r="K11" s="12" t="n">
        <v>0.9</v>
      </c>
      <c r="L11" s="12" t="n">
        <v>0</v>
      </c>
      <c r="M11" s="13" t="n">
        <f aca="false">IF(COUNT(F11:L11)&lt;7,"",ROUND(F11*G11*H11/I11*(0.5+0.5*AVERAGE(J11:K11))*(1-0.5*L11),2))</f>
        <v>12.19</v>
      </c>
      <c r="N11" s="13" t="n">
        <f aca="false">IF(M11="","",RANK(M11,$M$5:$M$14))</f>
        <v>1</v>
      </c>
      <c r="O11" s="14" t="str">
        <f aca="false">IF(B11="","",IF(OR(D11="",E11=""),"Thiếu",IF(SUMPRODUCT(--ISNUMBER(SEARCH({"0","1","2","3","4","5","6","7","8","9"},E11)))&gt;0,"Có","Thiếu")))</f>
        <v>Có</v>
      </c>
      <c r="P11" s="15" t="s">
        <v>68</v>
      </c>
      <c r="Q11" s="16" t="s">
        <v>101</v>
      </c>
    </row>
    <row r="12" customFormat="false" ht="15" hidden="false" customHeight="true" outlineLevel="0" collapsed="false">
      <c r="A12" s="11" t="n">
        <v>8</v>
      </c>
      <c r="B12" s="8"/>
      <c r="C12" s="8"/>
      <c r="D12" s="8"/>
      <c r="E12" s="8"/>
      <c r="F12" s="12"/>
      <c r="G12" s="12"/>
      <c r="H12" s="12"/>
      <c r="I12" s="12"/>
      <c r="J12" s="12"/>
      <c r="K12" s="12"/>
      <c r="L12" s="12"/>
      <c r="M12" s="13" t="str">
        <f aca="false">IF(COUNT(F12:L12)&lt;7,"",ROUND(F12*G12*H12/I12*(0.5+0.5*AVERAGE(J12:K12))*(1-0.5*L12),2))</f>
        <v/>
      </c>
      <c r="N12" s="13" t="str">
        <f aca="false">IF(M12="","",RANK(M12,$M$5:$M$14))</f>
        <v/>
      </c>
      <c r="O12" s="14" t="str">
        <f aca="false">IF(B12="","",IF(OR(D12="",E12=""),"Thiếu",IF(SUMPRODUCT(--ISNUMBER(SEARCH({"0","1","2","3","4","5","6","7","8","9"},E12)))&gt;0,"Có","Thiếu")))</f>
        <v/>
      </c>
      <c r="P12" s="15"/>
      <c r="Q12" s="15"/>
    </row>
    <row r="13" customFormat="false" ht="15" hidden="false" customHeight="true" outlineLevel="0" collapsed="false">
      <c r="A13" s="11" t="n">
        <v>9</v>
      </c>
      <c r="B13" s="8"/>
      <c r="C13" s="8"/>
      <c r="D13" s="8"/>
      <c r="E13" s="8"/>
      <c r="F13" s="12"/>
      <c r="G13" s="12"/>
      <c r="H13" s="12"/>
      <c r="I13" s="12"/>
      <c r="J13" s="12"/>
      <c r="K13" s="12"/>
      <c r="L13" s="12"/>
      <c r="M13" s="13" t="str">
        <f aca="false">IF(COUNT(F13:L13)&lt;7,"",ROUND(F13*G13*H13/I13*(0.5+0.5*AVERAGE(J13:K13))*(1-0.5*L13),2))</f>
        <v/>
      </c>
      <c r="N13" s="13" t="str">
        <f aca="false">IF(M13="","",RANK(M13,$M$5:$M$14))</f>
        <v/>
      </c>
      <c r="O13" s="14" t="str">
        <f aca="false">IF(B13="","",IF(OR(D13="",E13=""),"Thiếu",IF(SUMPRODUCT(--ISNUMBER(SEARCH({"0","1","2","3","4","5","6","7","8","9"},E13)))&gt;0,"Có","Thiếu")))</f>
        <v/>
      </c>
      <c r="P13" s="15"/>
      <c r="Q13" s="15"/>
    </row>
    <row r="14" customFormat="false" ht="15" hidden="false" customHeight="true" outlineLevel="0" collapsed="false">
      <c r="A14" s="11" t="n">
        <v>10</v>
      </c>
      <c r="B14" s="8"/>
      <c r="C14" s="8"/>
      <c r="D14" s="8"/>
      <c r="E14" s="8"/>
      <c r="F14" s="12"/>
      <c r="G14" s="12"/>
      <c r="H14" s="12"/>
      <c r="I14" s="12"/>
      <c r="J14" s="12"/>
      <c r="K14" s="12"/>
      <c r="L14" s="12"/>
      <c r="M14" s="13" t="str">
        <f aca="false">IF(COUNT(F14:L14)&lt;7,"",ROUND(F14*G14*H14/I14*(0.5+0.5*AVERAGE(J14:K14))*(1-0.5*L14),2))</f>
        <v/>
      </c>
      <c r="N14" s="13" t="str">
        <f aca="false">IF(M14="","",RANK(M14,$M$5:$M$14))</f>
        <v/>
      </c>
      <c r="O14" s="14" t="str">
        <f aca="false">IF(B14="","",IF(OR(D14="",E14=""),"Thiếu",IF(SUMPRODUCT(--ISNUMBER(SEARCH({"0","1","2","3","4","5","6","7","8","9"},E14)))&gt;0,"Có","Thiếu")))</f>
        <v/>
      </c>
      <c r="P14" s="15"/>
      <c r="Q14" s="15"/>
    </row>
  </sheetData>
  <sheetProtection sheet="true" formatColumns="false" formatRows="false"/>
  <dataValidations count="4">
    <dataValidation allowBlank="true" error="Nhập số nguyên từ 1 đến 5." errorStyle="stop" errorTitle="Ngoài thang điểm" operator="between" showDropDown="false" showErrorMessage="true" showInputMessage="false" sqref="F5:G14 I5:I14" type="whole">
      <formula1>1</formula1>
      <formula2>5</formula2>
    </dataValidation>
    <dataValidation allowBlank="true" error="Dùng 0,5 (đoán), 0,8 (có dấu hiệu) hoặc 1 (có số liệu)." errorStyle="stop" errorTitle="Mức tự tin" operator="between" showDropDown="false" showErrorMessage="true" showInputMessage="false" sqref="H5:H14" type="decimal">
      <formula1>0.5</formula1>
      <formula2>1</formula2>
    </dataValidation>
    <dataValidation allowBlank="true" error="Nhập số từ 0 đến 1, ví dụ 0,6." errorStyle="stop" errorTitle="Ngoài thang 0–1" operator="between" showDropDown="false" showErrorMessage="true" showInputMessage="false" sqref="J5:L14" type="decimal">
      <formula1>0</formula1>
      <formula2>1</formula2>
    </dataValidation>
    <dataValidation allowBlank="true" errorStyle="stop" operator="between" showDropDown="false" showErrorMessage="false" showInputMessage="false" sqref="P5:P14" type="list">
      <formula1>"Tự làm,Mua,Chờ,Không làm"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0"/>
    <col collapsed="false" customWidth="true" hidden="false" outlineLevel="0" max="3" min="3" style="1" width="34"/>
    <col collapsed="false" customWidth="true" hidden="false" outlineLevel="0" max="4" min="4" style="1" width="30"/>
    <col collapsed="false" customWidth="true" hidden="false" outlineLevel="0" max="5" min="5" style="1" width="44"/>
    <col collapsed="false" customWidth="true" hidden="false" outlineLevel="0" max="6" min="6" style="1" width="36"/>
    <col collapsed="false" customWidth="true" hidden="false" outlineLevel="0" max="8" min="7" style="1" width="12"/>
    <col collapsed="false" customWidth="true" hidden="false" outlineLevel="0" max="9" min="9" style="1" width="18"/>
    <col collapsed="false" customWidth="true" hidden="false" outlineLevel="0" max="10" min="10" style="1" width="14"/>
    <col collapsed="false" customWidth="true" hidden="false" outlineLevel="0" max="11" min="11" style="1" width="12"/>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102</v>
      </c>
    </row>
    <row r="2" customFormat="false" ht="15" hidden="false" customHeight="true" outlineLevel="0" collapsed="false">
      <c r="A2" s="3" t="s">
        <v>103</v>
      </c>
    </row>
    <row r="4" customFormat="false" ht="26.25" hidden="false" customHeight="true" outlineLevel="0" collapsed="false">
      <c r="A4" s="10" t="s">
        <v>104</v>
      </c>
      <c r="B4" s="10" t="s">
        <v>105</v>
      </c>
      <c r="C4" s="10" t="s">
        <v>106</v>
      </c>
      <c r="D4" s="10" t="s">
        <v>107</v>
      </c>
      <c r="E4" s="10" t="s">
        <v>108</v>
      </c>
      <c r="F4" s="10" t="s">
        <v>109</v>
      </c>
      <c r="G4" s="10" t="s">
        <v>110</v>
      </c>
      <c r="H4" s="10" t="s">
        <v>111</v>
      </c>
      <c r="I4" s="10" t="s">
        <v>112</v>
      </c>
      <c r="J4" s="10" t="s">
        <v>113</v>
      </c>
      <c r="K4" s="10" t="s">
        <v>114</v>
      </c>
      <c r="L4" s="10" t="s">
        <v>115</v>
      </c>
      <c r="M4" s="10" t="s">
        <v>116</v>
      </c>
    </row>
    <row r="5" customFormat="false" ht="120" hidden="false" customHeight="true" outlineLevel="0" collapsed="false">
      <c r="A5" s="11" t="n">
        <v>0</v>
      </c>
      <c r="B5" s="8" t="s">
        <v>117</v>
      </c>
      <c r="C5" s="8" t="s">
        <v>118</v>
      </c>
      <c r="D5" s="8" t="s">
        <v>119</v>
      </c>
      <c r="E5" s="8" t="s">
        <v>120</v>
      </c>
      <c r="F5" s="8" t="s">
        <v>121</v>
      </c>
      <c r="G5" s="8" t="s">
        <v>122</v>
      </c>
      <c r="H5" s="17" t="n">
        <v>1</v>
      </c>
      <c r="I5" s="15" t="s">
        <v>123</v>
      </c>
      <c r="J5" s="18" t="n">
        <f aca="false">IF(H5="","",$B$12+$B$13+IF(I5="Người của mình",H5*$B$14*$B$15/60,0))</f>
        <v>11668</v>
      </c>
      <c r="K5" s="19" t="n">
        <f aca="false">IF(J5="","",IFERROR(($B$16-$B$17*J5)/$B$16,""))</f>
        <v>0.06656</v>
      </c>
      <c r="L5" s="20" t="str">
        <f aca="false">IF(K5="","",IF(K5&gt;=0.6,"Đạt","Dưới ngưỡng"))</f>
        <v>Dưới ngưỡng</v>
      </c>
    </row>
    <row r="6" customFormat="false" ht="120" hidden="false" customHeight="true" outlineLevel="0" collapsed="false">
      <c r="A6" s="11" t="n">
        <v>1</v>
      </c>
      <c r="B6" s="8" t="s">
        <v>124</v>
      </c>
      <c r="C6" s="8" t="s">
        <v>125</v>
      </c>
      <c r="D6" s="8" t="s">
        <v>126</v>
      </c>
      <c r="E6" s="8" t="s">
        <v>127</v>
      </c>
      <c r="F6" s="8" t="s">
        <v>128</v>
      </c>
      <c r="G6" s="8" t="s">
        <v>129</v>
      </c>
      <c r="H6" s="17" t="n">
        <v>0.3</v>
      </c>
      <c r="I6" s="15" t="s">
        <v>123</v>
      </c>
      <c r="J6" s="18" t="n">
        <f aca="false">IF(H6="","",$B$12+$B$13+IF(I6="Người của mình",H6*$B$14*$B$15/60,0))</f>
        <v>6418</v>
      </c>
      <c r="K6" s="19" t="n">
        <f aca="false">IF(J6="","",IFERROR(($B$16-$B$17*J6)/$B$16,""))</f>
        <v>0.48656</v>
      </c>
      <c r="L6" s="20" t="str">
        <f aca="false">IF(K6="","",IF(K6&gt;=0.6,"Đạt","Dưới ngưỡng"))</f>
        <v>Dưới ngưỡng</v>
      </c>
      <c r="M6" s="20" t="str">
        <f aca="false">IF(E6="","",IF(SUMPRODUCT(--ISNUMBER(SEARCH({"0","1","2","3","4","5","6","7","8","9"},E6)))&gt;0,"Có","Thiếu"))</f>
        <v>Có</v>
      </c>
    </row>
    <row r="7" customFormat="false" ht="120" hidden="false" customHeight="true" outlineLevel="0" collapsed="false">
      <c r="A7" s="11" t="n">
        <v>2</v>
      </c>
      <c r="B7" s="8" t="s">
        <v>130</v>
      </c>
      <c r="C7" s="8" t="s">
        <v>131</v>
      </c>
      <c r="D7" s="8" t="s">
        <v>132</v>
      </c>
      <c r="E7" s="8" t="s">
        <v>133</v>
      </c>
      <c r="F7" s="8" t="s">
        <v>134</v>
      </c>
      <c r="G7" s="8" t="s">
        <v>135</v>
      </c>
      <c r="H7" s="17" t="n">
        <v>0.1</v>
      </c>
      <c r="I7" s="15" t="s">
        <v>123</v>
      </c>
      <c r="J7" s="18" t="n">
        <f aca="false">IF(H7="","",$B$12+$B$13+IF(I7="Người của mình",H7*$B$14*$B$15/60,0))</f>
        <v>4918</v>
      </c>
      <c r="K7" s="19" t="n">
        <f aca="false">IF(J7="","",IFERROR(($B$16-$B$17*J7)/$B$16,""))</f>
        <v>0.60656</v>
      </c>
      <c r="L7" s="20" t="str">
        <f aca="false">IF(K7="","",IF(K7&gt;=0.6,"Đạt","Dưới ngưỡng"))</f>
        <v>Đạt</v>
      </c>
      <c r="M7" s="20" t="str">
        <f aca="false">IF(E7="","",IF(SUMPRODUCT(--ISNUMBER(SEARCH({"0","1","2","3","4","5","6","7","8","9"},E7)))&gt;0,"Có","Thiếu"))</f>
        <v>Có</v>
      </c>
    </row>
    <row r="8" customFormat="false" ht="120" hidden="false" customHeight="true" outlineLevel="0" collapsed="false">
      <c r="A8" s="11" t="n">
        <v>3</v>
      </c>
      <c r="B8" s="8" t="s">
        <v>136</v>
      </c>
      <c r="C8" s="8" t="s">
        <v>137</v>
      </c>
      <c r="D8" s="8" t="s">
        <v>138</v>
      </c>
      <c r="E8" s="8" t="s">
        <v>139</v>
      </c>
      <c r="F8" s="8" t="s">
        <v>140</v>
      </c>
      <c r="G8" s="8" t="s">
        <v>141</v>
      </c>
      <c r="H8" s="17"/>
      <c r="I8" s="15" t="s">
        <v>123</v>
      </c>
      <c r="J8" s="18" t="str">
        <f aca="false">IF(H8="","",$B$12+$B$13+IF(I8="Người của mình",H8*$B$14*$B$15/60,0))</f>
        <v/>
      </c>
      <c r="K8" s="19" t="str">
        <f aca="false">IF(J8="","",IFERROR(($B$16-$B$17*J8)/$B$16,""))</f>
        <v/>
      </c>
      <c r="L8" s="20" t="str">
        <f aca="false">IF(K8="","",IF(K8&gt;=0.6,"Đạt","Dưới ngưỡng"))</f>
        <v/>
      </c>
      <c r="M8" s="20" t="str">
        <f aca="false">IF(E8="","",IF(SUMPRODUCT(--ISNUMBER(SEARCH({"0","1","2","3","4","5","6","7","8","9"},E8)))&gt;0,"Có","Thiếu"))</f>
        <v>Thiếu</v>
      </c>
    </row>
    <row r="9" customFormat="false" ht="485.05" hidden="false" customHeight="false" outlineLevel="0" collapsed="false">
      <c r="A9" s="21" t="s">
        <v>142</v>
      </c>
    </row>
    <row r="11" customFormat="false" ht="15" hidden="false" customHeight="true" outlineLevel="0" collapsed="false">
      <c r="A11" s="9" t="s">
        <v>143</v>
      </c>
    </row>
    <row r="12" customFormat="false" ht="15" hidden="false" customHeight="true" outlineLevel="0" collapsed="false">
      <c r="A12" s="22" t="s">
        <v>144</v>
      </c>
      <c r="B12" s="23" t="n">
        <v>2968</v>
      </c>
      <c r="C12" s="24" t="s">
        <v>145</v>
      </c>
    </row>
    <row r="13" customFormat="false" ht="15" hidden="false" customHeight="true" outlineLevel="0" collapsed="false">
      <c r="A13" s="22" t="s">
        <v>146</v>
      </c>
      <c r="B13" s="23" t="n">
        <v>1200</v>
      </c>
      <c r="C13" s="24" t="s">
        <v>147</v>
      </c>
    </row>
    <row r="14" customFormat="false" ht="15" hidden="false" customHeight="true" outlineLevel="0" collapsed="false">
      <c r="A14" s="22" t="s">
        <v>148</v>
      </c>
      <c r="B14" s="25" t="n">
        <v>3</v>
      </c>
      <c r="C14" s="24" t="s">
        <v>149</v>
      </c>
    </row>
    <row r="15" customFormat="false" ht="15" hidden="false" customHeight="true" outlineLevel="0" collapsed="false">
      <c r="A15" s="22" t="s">
        <v>150</v>
      </c>
      <c r="B15" s="23" t="n">
        <v>150000</v>
      </c>
      <c r="C15" s="24" t="s">
        <v>151</v>
      </c>
    </row>
    <row r="16" customFormat="false" ht="15" hidden="false" customHeight="true" outlineLevel="0" collapsed="false">
      <c r="A16" s="22" t="s">
        <v>152</v>
      </c>
      <c r="B16" s="23" t="n">
        <v>15000000</v>
      </c>
      <c r="C16" s="24" t="s">
        <v>153</v>
      </c>
    </row>
    <row r="17" customFormat="false" ht="15" hidden="false" customHeight="true" outlineLevel="0" collapsed="false">
      <c r="A17" s="22" t="s">
        <v>154</v>
      </c>
      <c r="B17" s="23" t="n">
        <v>1200</v>
      </c>
      <c r="C17" s="24" t="s">
        <v>155</v>
      </c>
    </row>
    <row r="18" customFormat="false" ht="15" hidden="false" customHeight="true" outlineLevel="0" collapsed="false">
      <c r="A18" s="22" t="s">
        <v>156</v>
      </c>
      <c r="B18" s="15" t="s">
        <v>157</v>
      </c>
      <c r="C18" s="24" t="s">
        <v>158</v>
      </c>
    </row>
    <row r="19" customFormat="false" ht="15" hidden="false" customHeight="true" outlineLevel="0" collapsed="false">
      <c r="A19" s="22" t="s">
        <v>159</v>
      </c>
      <c r="B19" s="15" t="s">
        <v>160</v>
      </c>
      <c r="C19" s="24" t="s">
        <v>161</v>
      </c>
    </row>
    <row r="20" customFormat="false" ht="15" hidden="false" customHeight="true" outlineLevel="0" collapsed="false">
      <c r="A20" s="22" t="s">
        <v>162</v>
      </c>
      <c r="B20" s="26" t="n">
        <v>9</v>
      </c>
      <c r="C20" s="24" t="s">
        <v>163</v>
      </c>
    </row>
    <row r="22" customFormat="false" ht="15" hidden="false" customHeight="true" outlineLevel="0" collapsed="false">
      <c r="A22" s="24" t="s">
        <v>164</v>
      </c>
    </row>
    <row r="23" customFormat="false" ht="15" hidden="false" customHeight="true" outlineLevel="0" collapsed="false">
      <c r="A23" s="24"/>
    </row>
  </sheetData>
  <sheetProtection sheet="true" formatColumns="false" formatRows="false"/>
  <dataValidations count="2">
    <dataValidation allowBlank="true" errorStyle="stop" operator="between" showDropDown="false" showErrorMessage="false" showInputMessage="false" sqref="I5:I8" type="list">
      <formula1>"Người của mình,Nhân viên cửa hàng"</formula1>
      <formula2>0</formula2>
    </dataValidation>
    <dataValidation allowBlank="true" errorStyle="stop" operator="between" showDropDown="false" showErrorMessage="false" showInputMessage="false" sqref="H5:H8"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42"/>
  </cols>
  <sheetData>
    <row r="1" customFormat="false" ht="17.25" hidden="false" customHeight="true" outlineLevel="0" collapsed="false">
      <c r="A1" s="2" t="s">
        <v>165</v>
      </c>
    </row>
    <row r="2" customFormat="false" ht="15" hidden="false" customHeight="true" outlineLevel="0" collapsed="false">
      <c r="A2" s="3" t="s">
        <v>166</v>
      </c>
    </row>
    <row r="4" customFormat="false" ht="15" hidden="false" customHeight="true" outlineLevel="0" collapsed="false">
      <c r="A4" s="10" t="s">
        <v>167</v>
      </c>
      <c r="B4" s="10" t="s">
        <v>168</v>
      </c>
      <c r="C4" s="10" t="s">
        <v>169</v>
      </c>
      <c r="D4" s="10" t="s">
        <v>170</v>
      </c>
    </row>
    <row r="5" customFormat="false" ht="129.75" hidden="false" customHeight="true" outlineLevel="0" collapsed="false">
      <c r="A5" s="27" t="s">
        <v>171</v>
      </c>
      <c r="B5" s="8" t="s">
        <v>172</v>
      </c>
      <c r="C5" s="8" t="s">
        <v>173</v>
      </c>
      <c r="D5" s="8" t="s">
        <v>174</v>
      </c>
    </row>
    <row r="6" customFormat="false" ht="129.75" hidden="false" customHeight="true" outlineLevel="0" collapsed="false">
      <c r="A6" s="27" t="s">
        <v>175</v>
      </c>
      <c r="B6" s="8" t="s">
        <v>176</v>
      </c>
      <c r="C6" s="8" t="s">
        <v>177</v>
      </c>
      <c r="D6" s="8" t="s">
        <v>178</v>
      </c>
    </row>
    <row r="7" customFormat="false" ht="129.75" hidden="false" customHeight="true" outlineLevel="0" collapsed="false">
      <c r="A7" s="27" t="s">
        <v>51</v>
      </c>
      <c r="B7" s="8" t="s">
        <v>179</v>
      </c>
      <c r="C7" s="8" t="s">
        <v>180</v>
      </c>
      <c r="D7" s="8" t="s">
        <v>181</v>
      </c>
    </row>
    <row r="8" customFormat="false" ht="129.75" hidden="false" customHeight="true" outlineLevel="0" collapsed="false">
      <c r="A8" s="27" t="s">
        <v>182</v>
      </c>
      <c r="B8" s="8" t="s">
        <v>183</v>
      </c>
      <c r="C8" s="8" t="s">
        <v>184</v>
      </c>
      <c r="D8" s="8" t="s">
        <v>185</v>
      </c>
    </row>
    <row r="9" customFormat="false" ht="129.75" hidden="false" customHeight="true" outlineLevel="0" collapsed="false">
      <c r="A9" s="27" t="s">
        <v>186</v>
      </c>
      <c r="B9" s="8" t="s">
        <v>187</v>
      </c>
      <c r="C9" s="8" t="s">
        <v>188</v>
      </c>
      <c r="D9" s="8" t="s">
        <v>189</v>
      </c>
    </row>
    <row r="10" customFormat="false" ht="129.75" hidden="false" customHeight="true" outlineLevel="0" collapsed="false">
      <c r="A10" s="27" t="s">
        <v>190</v>
      </c>
      <c r="B10" s="8" t="s">
        <v>191</v>
      </c>
      <c r="C10" s="8" t="s">
        <v>192</v>
      </c>
      <c r="D10" s="8" t="s">
        <v>193</v>
      </c>
    </row>
    <row r="11" customFormat="false" ht="129.75" hidden="false" customHeight="true" outlineLevel="0" collapsed="false">
      <c r="A11" s="27" t="s">
        <v>194</v>
      </c>
      <c r="B11" s="8" t="s">
        <v>195</v>
      </c>
      <c r="C11" s="8" t="s">
        <v>196</v>
      </c>
      <c r="D11" s="8" t="s">
        <v>197</v>
      </c>
    </row>
    <row r="12" customFormat="false" ht="129.75" hidden="false" customHeight="true" outlineLevel="0" collapsed="false">
      <c r="A12" s="27" t="s">
        <v>198</v>
      </c>
      <c r="B12" s="8" t="s">
        <v>199</v>
      </c>
      <c r="C12" s="8" t="s">
        <v>200</v>
      </c>
      <c r="D12" s="8" t="s">
        <v>201</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0"/>
    <col collapsed="false" customWidth="true" hidden="false" outlineLevel="0" max="4" min="4" style="1" width="28"/>
  </cols>
  <sheetData>
    <row r="1" customFormat="false" ht="17.25" hidden="false" customHeight="true" outlineLevel="0" collapsed="false">
      <c r="A1" s="2" t="s">
        <v>202</v>
      </c>
    </row>
    <row r="2" customFormat="false" ht="15" hidden="false" customHeight="true" outlineLevel="0" collapsed="false">
      <c r="A2" s="3" t="s">
        <v>203</v>
      </c>
    </row>
    <row r="4" customFormat="false" ht="15" hidden="false" customHeight="true" outlineLevel="0" collapsed="false">
      <c r="A4" s="10" t="s">
        <v>204</v>
      </c>
      <c r="B4" s="10" t="s">
        <v>205</v>
      </c>
      <c r="C4" s="10" t="s">
        <v>206</v>
      </c>
      <c r="D4" s="10" t="s">
        <v>207</v>
      </c>
    </row>
    <row r="5" customFormat="false" ht="69.75" hidden="false" customHeight="true" outlineLevel="0" collapsed="false">
      <c r="A5" s="8" t="s">
        <v>208</v>
      </c>
      <c r="B5" s="8" t="s">
        <v>209</v>
      </c>
      <c r="C5" s="8" t="s">
        <v>210</v>
      </c>
      <c r="D5" s="8" t="s">
        <v>211</v>
      </c>
    </row>
    <row r="6" customFormat="false" ht="69.75" hidden="false" customHeight="true" outlineLevel="0" collapsed="false">
      <c r="A6" s="8" t="s">
        <v>212</v>
      </c>
      <c r="B6" s="8" t="s">
        <v>213</v>
      </c>
      <c r="C6" s="8" t="s">
        <v>214</v>
      </c>
      <c r="D6" s="8" t="s">
        <v>215</v>
      </c>
    </row>
    <row r="7" customFormat="false" ht="69.75" hidden="false" customHeight="true" outlineLevel="0" collapsed="false">
      <c r="A7" s="8" t="s">
        <v>216</v>
      </c>
      <c r="B7" s="8" t="s">
        <v>217</v>
      </c>
      <c r="C7" s="8" t="s">
        <v>218</v>
      </c>
      <c r="D7" s="8" t="s">
        <v>219</v>
      </c>
    </row>
    <row r="8" customFormat="false" ht="69.75" hidden="false" customHeight="true" outlineLevel="0" collapsed="false">
      <c r="A8" s="8" t="s">
        <v>220</v>
      </c>
      <c r="B8" s="8" t="s">
        <v>221</v>
      </c>
      <c r="C8" s="8" t="s">
        <v>222</v>
      </c>
      <c r="D8" s="8" t="s">
        <v>223</v>
      </c>
    </row>
    <row r="9" customFormat="false" ht="69.75" hidden="false" customHeight="true" outlineLevel="0" collapsed="false">
      <c r="A9" s="8" t="s">
        <v>224</v>
      </c>
      <c r="B9" s="8" t="s">
        <v>225</v>
      </c>
      <c r="C9" s="8" t="s">
        <v>226</v>
      </c>
      <c r="D9" s="8" t="s">
        <v>227</v>
      </c>
    </row>
    <row r="10" customFormat="false" ht="69.75" hidden="false" customHeight="true" outlineLevel="0" collapsed="false">
      <c r="A10" s="8" t="s">
        <v>228</v>
      </c>
      <c r="B10" s="8" t="s">
        <v>229</v>
      </c>
      <c r="C10" s="8" t="s">
        <v>230</v>
      </c>
      <c r="D10" s="8" t="s">
        <v>231</v>
      </c>
    </row>
    <row r="12" customFormat="false" ht="15" hidden="false" customHeight="true" outlineLevel="0" collapsed="false">
      <c r="A12" s="24" t="s">
        <v>232</v>
      </c>
    </row>
    <row r="13" customFormat="false" ht="28.35" hidden="false" customHeight="false" outlineLevel="0" collapsed="false">
      <c r="A13" s="21" t="s">
        <v>233</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90"/>
    <col collapsed="false" customWidth="true" hidden="false" outlineLevel="0" max="3" min="3" style="1" width="8"/>
    <col collapsed="false" customWidth="true" hidden="false" outlineLevel="0" max="4" min="4" style="1" width="12"/>
  </cols>
  <sheetData>
    <row r="1" customFormat="false" ht="17.25" hidden="false" customHeight="true" outlineLevel="0" collapsed="false">
      <c r="A1" s="2" t="s">
        <v>234</v>
      </c>
    </row>
    <row r="2" customFormat="false" ht="15" hidden="false" customHeight="true" outlineLevel="0" collapsed="false">
      <c r="A2" s="3" t="s">
        <v>235</v>
      </c>
    </row>
    <row r="3" customFormat="false" ht="15" hidden="false" customHeight="true" outlineLevel="0" collapsed="false">
      <c r="C3" s="28" t="s">
        <v>236</v>
      </c>
      <c r="D3" s="28" t="s">
        <v>237</v>
      </c>
    </row>
    <row r="4" customFormat="false" ht="90" hidden="false" customHeight="true" outlineLevel="0" collapsed="false">
      <c r="A4" s="28" t="s">
        <v>238</v>
      </c>
      <c r="B4" s="8" t="s">
        <v>239</v>
      </c>
      <c r="C4" s="29" t="n">
        <f aca="false">IF(TRIM(B4)="",0,LEN(TRIM(B4))-LEN(SUBSTITUTE(TRIM(B4)," ",""))+1)</f>
        <v>43</v>
      </c>
      <c r="D4" s="20" t="str">
        <f aca="false">IF(C4=0,"Trống",IF(C4&gt;60,"Quá 60 chữ","Đạt"))</f>
        <v>Đạt</v>
      </c>
    </row>
    <row r="5" customFormat="false" ht="90" hidden="false" customHeight="true" outlineLevel="0" collapsed="false">
      <c r="A5" s="28" t="s">
        <v>240</v>
      </c>
      <c r="B5" s="8" t="s">
        <v>241</v>
      </c>
      <c r="C5" s="29" t="n">
        <f aca="false">IF(TRIM(B5)="",0,LEN(TRIM(B5))-LEN(SUBSTITUTE(TRIM(B5)," ",""))+1)</f>
        <v>47</v>
      </c>
      <c r="D5" s="20" t="str">
        <f aca="false">IF(C5=0,"Trống",IF(C5&gt;60,"Quá 60 chữ","Đạt"))</f>
        <v>Đạt</v>
      </c>
    </row>
    <row r="6" customFormat="false" ht="90" hidden="false" customHeight="true" outlineLevel="0" collapsed="false">
      <c r="A6" s="28" t="s">
        <v>242</v>
      </c>
      <c r="B6" s="8" t="s">
        <v>243</v>
      </c>
      <c r="C6" s="29" t="n">
        <f aca="false">IF(TRIM(B6)="",0,LEN(TRIM(B6))-LEN(SUBSTITUTE(TRIM(B6)," ",""))+1)</f>
        <v>45</v>
      </c>
      <c r="D6" s="20" t="str">
        <f aca="false">IF(C6=0,"Trống",IF(C6&gt;60,"Quá 60 chữ","Đạt"))</f>
        <v>Đạt</v>
      </c>
    </row>
    <row r="7" customFormat="false" ht="90" hidden="false" customHeight="true" outlineLevel="0" collapsed="false">
      <c r="A7" s="28" t="s">
        <v>244</v>
      </c>
      <c r="B7" s="8" t="s">
        <v>245</v>
      </c>
      <c r="C7" s="29" t="n">
        <f aca="false">IF(TRIM(B7)="",0,LEN(TRIM(B7))-LEN(SUBSTITUTE(TRIM(B7)," ",""))+1)</f>
        <v>48</v>
      </c>
      <c r="D7" s="20" t="str">
        <f aca="false">IF(C7=0,"Trống",IF(C7&gt;60,"Quá 60 chữ","Đạt"))</f>
        <v>Đạt</v>
      </c>
    </row>
    <row r="8" customFormat="false" ht="90" hidden="false" customHeight="true" outlineLevel="0" collapsed="false">
      <c r="A8" s="28" t="s">
        <v>246</v>
      </c>
      <c r="B8" s="8" t="s">
        <v>247</v>
      </c>
      <c r="C8" s="29" t="n">
        <f aca="false">IF(TRIM(B8)="",0,LEN(TRIM(B8))-LEN(SUBSTITUTE(TRIM(B8)," ",""))+1)</f>
        <v>49</v>
      </c>
      <c r="D8" s="20" t="str">
        <f aca="false">IF(C8=0,"Trống",IF(C8&gt;60,"Quá 60 chữ","Đạt"))</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6"/>
    <col collapsed="false" customWidth="true" hidden="false" outlineLevel="0" max="3" min="2" style="1" width="14"/>
  </cols>
  <sheetData>
    <row r="1" customFormat="false" ht="17.25" hidden="false" customHeight="true" outlineLevel="0" collapsed="false">
      <c r="A1" s="2" t="s">
        <v>248</v>
      </c>
    </row>
    <row r="2" customFormat="false" ht="15" hidden="false" customHeight="true" outlineLevel="0" collapsed="false">
      <c r="A2" s="3" t="s">
        <v>249</v>
      </c>
    </row>
    <row r="4" customFormat="false" ht="15" hidden="false" customHeight="true" outlineLevel="0" collapsed="false">
      <c r="A4" s="10" t="s">
        <v>250</v>
      </c>
      <c r="B4" s="10" t="s">
        <v>251</v>
      </c>
      <c r="C4" s="10" t="s">
        <v>237</v>
      </c>
    </row>
    <row r="5" customFormat="false" ht="15" hidden="false" customHeight="true" outlineLevel="0" collapsed="false">
      <c r="A5" s="11" t="s">
        <v>252</v>
      </c>
      <c r="B5" s="13" t="n">
        <f aca="false">COUNT('1_Danh sách việc'!M5:M14)</f>
        <v>7</v>
      </c>
      <c r="C5" s="13" t="str">
        <f aca="false">IF(B5&gt;=5,"Đạt","Xem lại")</f>
        <v>Đạt</v>
      </c>
    </row>
    <row r="6" customFormat="false" ht="15" hidden="false" customHeight="true" outlineLevel="0" collapsed="false">
      <c r="A6" s="11" t="s">
        <v>253</v>
      </c>
      <c r="B6" s="13" t="n">
        <f aca="false">COUNTIFS('1_Danh sách việc'!O5:O14,"Thiếu",'1_Danh sách việc'!P5:P14,"&lt;&gt;Không làm")</f>
        <v>0</v>
      </c>
      <c r="C6" s="13" t="str">
        <f aca="false">IF(B5=0,"",IF(B6=0,"Đạt","Xem lại"))</f>
        <v>Đạt</v>
      </c>
    </row>
    <row r="7" customFormat="false" ht="15" hidden="false" customHeight="true" outlineLevel="0" collapsed="false">
      <c r="A7" s="11" t="s">
        <v>254</v>
      </c>
      <c r="B7" s="13" t="n">
        <f aca="false">COUNTIF('2_Mức tự động'!M6:M8,"Có")</f>
        <v>2</v>
      </c>
      <c r="C7" s="13" t="str">
        <f aca="false">IF(B7&gt;=2,"Đạt","Xem lại")</f>
        <v>Đạt</v>
      </c>
    </row>
    <row r="8" customFormat="false" ht="15" hidden="false" customHeight="true" outlineLevel="0" collapsed="false">
      <c r="A8" s="11" t="s">
        <v>255</v>
      </c>
      <c r="B8" s="13" t="n">
        <f aca="false">COUNTA('3_Bảng lộ trình'!B5:B12)</f>
        <v>8</v>
      </c>
      <c r="C8" s="13" t="str">
        <f aca="false">IF(B8=8,"Đạt","Xem lại")</f>
        <v>Đạt</v>
      </c>
    </row>
    <row r="9" customFormat="false" ht="15" hidden="false" customHeight="true" outlineLevel="0" collapsed="false">
      <c r="A9" s="11" t="s">
        <v>256</v>
      </c>
      <c r="B9" s="13" t="str">
        <f aca="false">IF(AND(LEN('3_Bảng lộ trình'!B12)&gt;10,SUMPRODUCT(--ISNUMBER(SEARCH({"0","1","2","3","4","5","6","7","8","9"},'3_Bảng lộ trình'!B12)))&gt;0),"Có","Chưa")</f>
        <v>Có</v>
      </c>
      <c r="C9" s="13" t="str">
        <f aca="false">IF(B9="Có","Đạt","Xem lại")</f>
        <v>Đạt</v>
      </c>
    </row>
    <row r="10" customFormat="false" ht="15" hidden="false" customHeight="true" outlineLevel="0" collapsed="false">
      <c r="A10" s="11" t="s">
        <v>257</v>
      </c>
      <c r="B10" s="13" t="str">
        <f aca="false">IF(AND(LEN('3_Bảng lộ trình'!B11)&gt;10,SUMPRODUCT(--ISNUMBER(SEARCH({"0","1","2","3","4","5","6","7","8","9"},'3_Bảng lộ trình'!B11)))&gt;0),"Có","Chưa")</f>
        <v>Có</v>
      </c>
      <c r="C10" s="13" t="str">
        <f aca="false">IF(B10="Có","Đạt","Xem lại")</f>
        <v>Đạt</v>
      </c>
    </row>
    <row r="11" customFormat="false" ht="15" hidden="false" customHeight="true" outlineLevel="0" collapsed="false">
      <c r="A11" s="11" t="s">
        <v>258</v>
      </c>
      <c r="B11" s="13" t="n">
        <f aca="false">COUNTIF('5_Slide lãnh đạo'!D4:D8,"Đạt")</f>
        <v>5</v>
      </c>
      <c r="C11" s="13" t="str">
        <f aca="false">IF(B11=5,"Đạt","Xem lại")</f>
        <v>Đạt</v>
      </c>
    </row>
    <row r="12" customFormat="false" ht="15" hidden="false" customHeight="true" outlineLevel="0" collapsed="false">
      <c r="A12" s="11" t="s">
        <v>259</v>
      </c>
      <c r="B12" s="13" t="n">
        <f aca="false">COUNTIF('2_Mức tự động'!L5:L8,"Đạt")</f>
        <v>1</v>
      </c>
      <c r="C12" s="13" t="str">
        <f aca="false">IF(B12&gt;=1,"Đạt","Xem lại")</f>
        <v>Đạt</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30"/>
    <col collapsed="false" customWidth="true" hidden="false" outlineLevel="0" max="3" min="3" style="1" width="80"/>
    <col collapsed="false" customWidth="true" hidden="false" outlineLevel="0" max="4" min="4" style="1" width="40"/>
  </cols>
  <sheetData>
    <row r="1" customFormat="false" ht="17.25" hidden="false" customHeight="true" outlineLevel="0" collapsed="false">
      <c r="A1" s="2" t="s">
        <v>260</v>
      </c>
    </row>
    <row r="2" customFormat="false" ht="15" hidden="false" customHeight="true" outlineLevel="0" collapsed="false">
      <c r="A2" s="3"/>
    </row>
    <row r="4" customFormat="false" ht="15" hidden="false" customHeight="true" outlineLevel="0" collapsed="false">
      <c r="A4" s="10" t="s">
        <v>261</v>
      </c>
      <c r="B4" s="10" t="s">
        <v>262</v>
      </c>
      <c r="C4" s="10" t="s">
        <v>263</v>
      </c>
      <c r="D4" s="10" t="s">
        <v>264</v>
      </c>
    </row>
    <row r="5" customFormat="false" ht="15" hidden="false" customHeight="true" outlineLevel="0" collapsed="false">
      <c r="A5" s="11" t="s">
        <v>265</v>
      </c>
      <c r="B5" s="1" t="n">
        <v>20</v>
      </c>
      <c r="C5" s="21" t="s">
        <v>266</v>
      </c>
      <c r="D5" s="30"/>
    </row>
    <row r="6" customFormat="false" ht="15" hidden="false" customHeight="true" outlineLevel="0" collapsed="false">
      <c r="A6" s="11" t="s">
        <v>267</v>
      </c>
      <c r="B6" s="1" t="n">
        <v>20</v>
      </c>
      <c r="C6" s="21" t="s">
        <v>268</v>
      </c>
      <c r="D6" s="30"/>
    </row>
    <row r="7" customFormat="false" ht="15" hidden="false" customHeight="true" outlineLevel="0" collapsed="false">
      <c r="A7" s="11" t="s">
        <v>269</v>
      </c>
      <c r="B7" s="1" t="n">
        <v>25</v>
      </c>
      <c r="C7" s="21" t="s">
        <v>270</v>
      </c>
      <c r="D7" s="30"/>
    </row>
    <row r="8" customFormat="false" ht="15" hidden="false" customHeight="true" outlineLevel="0" collapsed="false">
      <c r="A8" s="11" t="s">
        <v>271</v>
      </c>
      <c r="B8" s="1" t="n">
        <v>15</v>
      </c>
      <c r="C8" s="21" t="s">
        <v>272</v>
      </c>
      <c r="D8" s="30"/>
    </row>
    <row r="9" customFormat="false" ht="15" hidden="false" customHeight="true" outlineLevel="0" collapsed="false">
      <c r="A9" s="11" t="s">
        <v>273</v>
      </c>
      <c r="B9" s="1" t="n">
        <v>20</v>
      </c>
      <c r="C9" s="21" t="s">
        <v>274</v>
      </c>
      <c r="D9" s="30"/>
    </row>
    <row r="10" customFormat="false" ht="15" hidden="false" customHeight="true" outlineLevel="0" collapsed="false">
      <c r="A10" s="9" t="s">
        <v>275</v>
      </c>
      <c r="B10" s="1" t="n">
        <f aca="false">SUM(B5:B9)</f>
        <v>100</v>
      </c>
      <c r="D10" s="13" t="n">
        <f aca="false">SUM(D5:D9)</f>
        <v>0</v>
      </c>
    </row>
    <row r="12" customFormat="false" ht="15" hidden="false" customHeight="true" outlineLevel="0" collapsed="false">
      <c r="A12" s="9"/>
      <c r="D12" s="30"/>
    </row>
    <row r="15" customFormat="false" ht="15" hidden="false" customHeight="true" outlineLevel="0" collapsed="false">
      <c r="A15" s="31" t="s">
        <v>276</v>
      </c>
    </row>
    <row r="16" customFormat="false" ht="15" hidden="false" customHeight="true" outlineLevel="0" collapsed="false">
      <c r="A16" s="10" t="s">
        <v>261</v>
      </c>
      <c r="B16" s="10" t="s">
        <v>277</v>
      </c>
      <c r="C16" s="10" t="s">
        <v>278</v>
      </c>
      <c r="D16" s="10" t="s">
        <v>279</v>
      </c>
    </row>
    <row r="17" customFormat="false" ht="45.75" hidden="false" customHeight="true" outlineLevel="0" collapsed="false">
      <c r="A17" s="32" t="s">
        <v>280</v>
      </c>
      <c r="B17" s="33" t="s">
        <v>281</v>
      </c>
      <c r="C17" s="33" t="s">
        <v>282</v>
      </c>
      <c r="D17" s="33" t="s">
        <v>283</v>
      </c>
    </row>
    <row r="18" customFormat="false" ht="45.75" hidden="false" customHeight="true" outlineLevel="0" collapsed="false">
      <c r="A18" s="32" t="s">
        <v>284</v>
      </c>
      <c r="B18" s="33" t="s">
        <v>285</v>
      </c>
      <c r="C18" s="33" t="s">
        <v>286</v>
      </c>
      <c r="D18" s="33" t="s">
        <v>287</v>
      </c>
    </row>
    <row r="19" customFormat="false" ht="45.75" hidden="false" customHeight="true" outlineLevel="0" collapsed="false">
      <c r="A19" s="32" t="s">
        <v>288</v>
      </c>
      <c r="B19" s="33" t="s">
        <v>289</v>
      </c>
      <c r="C19" s="33" t="s">
        <v>290</v>
      </c>
      <c r="D19" s="33" t="s">
        <v>291</v>
      </c>
    </row>
    <row r="20" customFormat="false" ht="45.75" hidden="false" customHeight="true" outlineLevel="0" collapsed="false">
      <c r="A20" s="32" t="s">
        <v>292</v>
      </c>
      <c r="B20" s="33" t="s">
        <v>293</v>
      </c>
      <c r="C20" s="33" t="s">
        <v>294</v>
      </c>
      <c r="D20" s="33" t="s">
        <v>295</v>
      </c>
    </row>
    <row r="22" customFormat="false" ht="15" hidden="false" customHeight="true" outlineLevel="0" collapsed="false">
      <c r="A22" s="24" t="s">
        <v>296</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2026-10-04T05:24:07Z</dcterms:created>
  <dc:creator>openpyxl</dc:creator>
  <dc:description/>
  <dc:language>en-US</dc:language>
  <cp:lastModifiedBy/>
  <dcterms:modified xsi:type="dcterms:W3CDTF">2026-10-16T09:35:06Z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